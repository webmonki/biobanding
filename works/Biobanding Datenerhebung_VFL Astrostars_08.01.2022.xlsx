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lkn\OneDrive\Desktop\Aktuell\Excel\"/>
    </mc:Choice>
  </mc:AlternateContent>
  <xr:revisionPtr revIDLastSave="0" documentId="8_{A190CAFA-6E8F-4C69-8462-EE654E2C7FA7}" xr6:coauthVersionLast="47" xr6:coauthVersionMax="47" xr10:uidLastSave="{00000000-0000-0000-0000-000000000000}"/>
  <bookViews>
    <workbookView xWindow="-108" yWindow="-108" windowWidth="23256" windowHeight="12456" xr2:uid="{4DC9FF46-C0B0-45AD-A48A-304100BF069D}"/>
  </bookViews>
  <sheets>
    <sheet name="Dateneingbe Anthro" sheetId="1" r:id="rId1"/>
  </sheets>
  <externalReferences>
    <externalReference r:id="rId2"/>
  </externalReferences>
  <definedNames>
    <definedName name="IDs">'[1]Sprint - Rohdatenexport'!$M$2:$EL$2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12" i="1" l="1"/>
  <c r="T112" i="1"/>
  <c r="S112" i="1"/>
  <c r="U112" i="1" s="1"/>
  <c r="D112" i="1"/>
  <c r="V111" i="1"/>
  <c r="U111" i="1"/>
  <c r="T111" i="1"/>
  <c r="S111" i="1"/>
  <c r="D111" i="1"/>
  <c r="V110" i="1"/>
  <c r="T110" i="1"/>
  <c r="S110" i="1"/>
  <c r="U110" i="1" s="1"/>
  <c r="D110" i="1"/>
  <c r="V61" i="1"/>
  <c r="T61" i="1"/>
  <c r="S61" i="1"/>
  <c r="U61" i="1" s="1"/>
  <c r="D61" i="1"/>
  <c r="V109" i="1"/>
  <c r="T109" i="1"/>
  <c r="S109" i="1"/>
  <c r="U109" i="1" s="1"/>
  <c r="D109" i="1"/>
  <c r="V108" i="1"/>
  <c r="U108" i="1"/>
  <c r="T108" i="1"/>
  <c r="S108" i="1"/>
  <c r="D108" i="1"/>
  <c r="V107" i="1"/>
  <c r="T107" i="1"/>
  <c r="S107" i="1"/>
  <c r="U107" i="1" s="1"/>
  <c r="D107" i="1"/>
  <c r="V96" i="1"/>
  <c r="T96" i="1"/>
  <c r="S96" i="1"/>
  <c r="U96" i="1" s="1"/>
  <c r="D96" i="1"/>
  <c r="V106" i="1"/>
  <c r="T106" i="1"/>
  <c r="S106" i="1"/>
  <c r="U106" i="1" s="1"/>
  <c r="D106" i="1"/>
  <c r="V105" i="1"/>
  <c r="T105" i="1"/>
  <c r="S105" i="1"/>
  <c r="U105" i="1" s="1"/>
  <c r="D105" i="1"/>
  <c r="V104" i="1"/>
  <c r="U104" i="1"/>
  <c r="T104" i="1"/>
  <c r="S104" i="1"/>
  <c r="D104" i="1"/>
  <c r="V95" i="1"/>
  <c r="T95" i="1"/>
  <c r="S95" i="1"/>
  <c r="U95" i="1" s="1"/>
  <c r="D95" i="1"/>
  <c r="V103" i="1"/>
  <c r="T103" i="1"/>
  <c r="S103" i="1"/>
  <c r="U103" i="1" s="1"/>
  <c r="D103" i="1"/>
  <c r="V102" i="1"/>
  <c r="T102" i="1"/>
  <c r="S102" i="1"/>
  <c r="U102" i="1" s="1"/>
  <c r="D102" i="1"/>
  <c r="V101" i="1"/>
  <c r="T101" i="1"/>
  <c r="S101" i="1"/>
  <c r="U101" i="1" s="1"/>
  <c r="D101" i="1"/>
  <c r="V100" i="1"/>
  <c r="T100" i="1"/>
  <c r="X100" i="1" s="1"/>
  <c r="Y100" i="1" s="1"/>
  <c r="S100" i="1"/>
  <c r="U100" i="1" s="1"/>
  <c r="D100" i="1"/>
  <c r="V99" i="1"/>
  <c r="T99" i="1"/>
  <c r="S99" i="1"/>
  <c r="D99" i="1"/>
  <c r="V98" i="1"/>
  <c r="U98" i="1"/>
  <c r="W98" i="1" s="1"/>
  <c r="T98" i="1"/>
  <c r="S98" i="1"/>
  <c r="D98" i="1"/>
  <c r="V97" i="1"/>
  <c r="T97" i="1"/>
  <c r="W97" i="1" s="1"/>
  <c r="S97" i="1"/>
  <c r="U97" i="1" s="1"/>
  <c r="D97" i="1"/>
  <c r="V94" i="1"/>
  <c r="T94" i="1"/>
  <c r="S94" i="1"/>
  <c r="U94" i="1" s="1"/>
  <c r="D94" i="1"/>
  <c r="V93" i="1"/>
  <c r="T93" i="1"/>
  <c r="S93" i="1"/>
  <c r="D93" i="1"/>
  <c r="V92" i="1"/>
  <c r="T92" i="1"/>
  <c r="S92" i="1"/>
  <c r="U92" i="1" s="1"/>
  <c r="D92" i="1"/>
  <c r="V91" i="1"/>
  <c r="U91" i="1"/>
  <c r="T91" i="1"/>
  <c r="S91" i="1"/>
  <c r="D91" i="1"/>
  <c r="V79" i="1"/>
  <c r="T79" i="1"/>
  <c r="X79" i="1" s="1"/>
  <c r="Y79" i="1" s="1"/>
  <c r="S79" i="1"/>
  <c r="U79" i="1" s="1"/>
  <c r="D79" i="1"/>
  <c r="V90" i="1"/>
  <c r="T90" i="1"/>
  <c r="S90" i="1"/>
  <c r="D90" i="1"/>
  <c r="V89" i="1"/>
  <c r="U89" i="1"/>
  <c r="W89" i="1" s="1"/>
  <c r="T89" i="1"/>
  <c r="S89" i="1"/>
  <c r="D89" i="1"/>
  <c r="V88" i="1"/>
  <c r="T88" i="1"/>
  <c r="W88" i="1" s="1"/>
  <c r="S88" i="1"/>
  <c r="U88" i="1" s="1"/>
  <c r="D88" i="1"/>
  <c r="V87" i="1"/>
  <c r="T87" i="1"/>
  <c r="S87" i="1"/>
  <c r="U87" i="1" s="1"/>
  <c r="D87" i="1"/>
  <c r="V86" i="1"/>
  <c r="T86" i="1"/>
  <c r="S86" i="1"/>
  <c r="D86" i="1"/>
  <c r="V85" i="1"/>
  <c r="U85" i="1"/>
  <c r="T85" i="1"/>
  <c r="W85" i="1" s="1"/>
  <c r="S85" i="1"/>
  <c r="X85" i="1" s="1"/>
  <c r="Y85" i="1" s="1"/>
  <c r="D85" i="1"/>
  <c r="V78" i="1"/>
  <c r="U78" i="1"/>
  <c r="T78" i="1"/>
  <c r="S78" i="1"/>
  <c r="D78" i="1"/>
  <c r="V77" i="1"/>
  <c r="T77" i="1"/>
  <c r="X77" i="1" s="1"/>
  <c r="Y77" i="1" s="1"/>
  <c r="S77" i="1"/>
  <c r="U77" i="1" s="1"/>
  <c r="D77" i="1"/>
  <c r="V76" i="1"/>
  <c r="T76" i="1"/>
  <c r="S76" i="1"/>
  <c r="D76" i="1"/>
  <c r="V75" i="1"/>
  <c r="U75" i="1"/>
  <c r="W75" i="1" s="1"/>
  <c r="T75" i="1"/>
  <c r="S75" i="1"/>
  <c r="D75" i="1"/>
  <c r="V74" i="1"/>
  <c r="T74" i="1"/>
  <c r="S74" i="1"/>
  <c r="U74" i="1" s="1"/>
  <c r="X74" i="1" s="1"/>
  <c r="Y74" i="1" s="1"/>
  <c r="D74" i="1"/>
  <c r="V73" i="1"/>
  <c r="T73" i="1"/>
  <c r="S73" i="1"/>
  <c r="U73" i="1" s="1"/>
  <c r="D73" i="1"/>
  <c r="V72" i="1"/>
  <c r="T72" i="1"/>
  <c r="S72" i="1"/>
  <c r="D72" i="1"/>
  <c r="V71" i="1"/>
  <c r="U71" i="1"/>
  <c r="T71" i="1"/>
  <c r="S71" i="1"/>
  <c r="D71" i="1"/>
  <c r="V70" i="1"/>
  <c r="U70" i="1"/>
  <c r="T70" i="1"/>
  <c r="S70" i="1"/>
  <c r="D70" i="1"/>
  <c r="V69" i="1"/>
  <c r="T69" i="1"/>
  <c r="S69" i="1"/>
  <c r="U69" i="1" s="1"/>
  <c r="D69" i="1"/>
  <c r="V84" i="1"/>
  <c r="T84" i="1"/>
  <c r="S84" i="1"/>
  <c r="D84" i="1"/>
  <c r="V83" i="1"/>
  <c r="T83" i="1"/>
  <c r="S83" i="1"/>
  <c r="U83" i="1" s="1"/>
  <c r="W83" i="1" s="1"/>
  <c r="D83" i="1"/>
  <c r="V82" i="1"/>
  <c r="T82" i="1"/>
  <c r="S82" i="1"/>
  <c r="U82" i="1" s="1"/>
  <c r="X82" i="1" s="1"/>
  <c r="Y82" i="1" s="1"/>
  <c r="D82" i="1"/>
  <c r="V60" i="1"/>
  <c r="T60" i="1"/>
  <c r="S60" i="1"/>
  <c r="U60" i="1" s="1"/>
  <c r="D60" i="1"/>
  <c r="V59" i="1"/>
  <c r="U59" i="1"/>
  <c r="T59" i="1"/>
  <c r="W59" i="1" s="1"/>
  <c r="S59" i="1"/>
  <c r="D59" i="1"/>
  <c r="V58" i="1"/>
  <c r="U58" i="1"/>
  <c r="T58" i="1"/>
  <c r="S58" i="1"/>
  <c r="D58" i="1"/>
  <c r="V68" i="1"/>
  <c r="T68" i="1"/>
  <c r="S68" i="1"/>
  <c r="U68" i="1" s="1"/>
  <c r="D68" i="1"/>
  <c r="V67" i="1"/>
  <c r="T67" i="1"/>
  <c r="S67" i="1"/>
  <c r="U67" i="1" s="1"/>
  <c r="D67" i="1"/>
  <c r="V66" i="1"/>
  <c r="T66" i="1"/>
  <c r="S66" i="1"/>
  <c r="D66" i="1"/>
  <c r="V65" i="1"/>
  <c r="T65" i="1"/>
  <c r="S65" i="1"/>
  <c r="U65" i="1" s="1"/>
  <c r="W65" i="1" s="1"/>
  <c r="D65" i="1"/>
  <c r="V64" i="1"/>
  <c r="T64" i="1"/>
  <c r="S64" i="1"/>
  <c r="U64" i="1" s="1"/>
  <c r="X64" i="1" s="1"/>
  <c r="Y64" i="1" s="1"/>
  <c r="D64" i="1"/>
  <c r="V63" i="1"/>
  <c r="T63" i="1"/>
  <c r="S63" i="1"/>
  <c r="U63" i="1" s="1"/>
  <c r="D63" i="1"/>
  <c r="V53" i="1"/>
  <c r="U53" i="1"/>
  <c r="W53" i="1" s="1"/>
  <c r="T53" i="1"/>
  <c r="S53" i="1"/>
  <c r="D53" i="1"/>
  <c r="V52" i="1"/>
  <c r="T52" i="1"/>
  <c r="S52" i="1"/>
  <c r="D52" i="1"/>
  <c r="V51" i="1"/>
  <c r="T51" i="1"/>
  <c r="S51" i="1"/>
  <c r="U51" i="1" s="1"/>
  <c r="D51" i="1"/>
  <c r="V50" i="1"/>
  <c r="T50" i="1"/>
  <c r="S50" i="1"/>
  <c r="U50" i="1" s="1"/>
  <c r="D50" i="1"/>
  <c r="V49" i="1"/>
  <c r="T49" i="1"/>
  <c r="S49" i="1"/>
  <c r="D49" i="1"/>
  <c r="V48" i="1"/>
  <c r="U48" i="1"/>
  <c r="T48" i="1"/>
  <c r="X48" i="1" s="1"/>
  <c r="Y48" i="1" s="1"/>
  <c r="S48" i="1"/>
  <c r="D48" i="1"/>
  <c r="V47" i="1"/>
  <c r="T47" i="1"/>
  <c r="W47" i="1" s="1"/>
  <c r="S47" i="1"/>
  <c r="U47" i="1" s="1"/>
  <c r="D47" i="1"/>
  <c r="V46" i="1"/>
  <c r="T46" i="1"/>
  <c r="S46" i="1"/>
  <c r="U46" i="1" s="1"/>
  <c r="D46" i="1"/>
  <c r="V62" i="1"/>
  <c r="T62" i="1"/>
  <c r="S62" i="1"/>
  <c r="U62" i="1" s="1"/>
  <c r="W62" i="1" s="1"/>
  <c r="D62" i="1"/>
  <c r="V45" i="1"/>
  <c r="T45" i="1"/>
  <c r="S45" i="1"/>
  <c r="D45" i="1"/>
  <c r="V44" i="1"/>
  <c r="U44" i="1"/>
  <c r="T44" i="1"/>
  <c r="X44" i="1" s="1"/>
  <c r="Y44" i="1" s="1"/>
  <c r="S44" i="1"/>
  <c r="D44" i="1"/>
  <c r="V43" i="1"/>
  <c r="T43" i="1"/>
  <c r="X43" i="1" s="1"/>
  <c r="Y43" i="1" s="1"/>
  <c r="S43" i="1"/>
  <c r="U43" i="1" s="1"/>
  <c r="D43" i="1"/>
  <c r="V42" i="1"/>
  <c r="T42" i="1"/>
  <c r="S42" i="1"/>
  <c r="D42" i="1"/>
  <c r="V36" i="1"/>
  <c r="U36" i="1"/>
  <c r="W36" i="1" s="1"/>
  <c r="T36" i="1"/>
  <c r="S36" i="1"/>
  <c r="D36" i="1"/>
  <c r="V41" i="1"/>
  <c r="T41" i="1"/>
  <c r="W41" i="1" s="1"/>
  <c r="S41" i="1"/>
  <c r="U41" i="1" s="1"/>
  <c r="D41" i="1"/>
  <c r="V40" i="1"/>
  <c r="T40" i="1"/>
  <c r="S40" i="1"/>
  <c r="U40" i="1" s="1"/>
  <c r="D40" i="1"/>
  <c r="V37" i="1"/>
  <c r="T37" i="1"/>
  <c r="S37" i="1"/>
  <c r="U37" i="1" s="1"/>
  <c r="W37" i="1" s="1"/>
  <c r="D37" i="1"/>
  <c r="V39" i="1"/>
  <c r="U39" i="1"/>
  <c r="T39" i="1"/>
  <c r="W39" i="1" s="1"/>
  <c r="S39" i="1"/>
  <c r="D39" i="1"/>
  <c r="V81" i="1"/>
  <c r="U81" i="1"/>
  <c r="T81" i="1"/>
  <c r="S81" i="1"/>
  <c r="D81" i="1"/>
  <c r="V35" i="1"/>
  <c r="T35" i="1"/>
  <c r="X35" i="1" s="1"/>
  <c r="Y35" i="1" s="1"/>
  <c r="S35" i="1"/>
  <c r="U35" i="1" s="1"/>
  <c r="D35" i="1"/>
  <c r="V21" i="1"/>
  <c r="T21" i="1"/>
  <c r="S21" i="1"/>
  <c r="D21" i="1"/>
  <c r="V57" i="1"/>
  <c r="T57" i="1"/>
  <c r="S57" i="1"/>
  <c r="U57" i="1" s="1"/>
  <c r="W57" i="1" s="1"/>
  <c r="D57" i="1"/>
  <c r="V56" i="1"/>
  <c r="T56" i="1"/>
  <c r="S56" i="1"/>
  <c r="U56" i="1" s="1"/>
  <c r="X56" i="1" s="1"/>
  <c r="Y56" i="1" s="1"/>
  <c r="D56" i="1"/>
  <c r="V55" i="1"/>
  <c r="T55" i="1"/>
  <c r="S55" i="1"/>
  <c r="U55" i="1" s="1"/>
  <c r="D55" i="1"/>
  <c r="V54" i="1"/>
  <c r="U54" i="1"/>
  <c r="T54" i="1"/>
  <c r="X54" i="1" s="1"/>
  <c r="Y54" i="1" s="1"/>
  <c r="S54" i="1"/>
  <c r="D54" i="1"/>
  <c r="V34" i="1"/>
  <c r="U34" i="1"/>
  <c r="T34" i="1"/>
  <c r="S34" i="1"/>
  <c r="D34" i="1"/>
  <c r="V20" i="1"/>
  <c r="T20" i="1"/>
  <c r="S20" i="1"/>
  <c r="U20" i="1" s="1"/>
  <c r="D20" i="1"/>
  <c r="V33" i="1"/>
  <c r="T33" i="1"/>
  <c r="S33" i="1"/>
  <c r="U33" i="1" s="1"/>
  <c r="D33" i="1"/>
  <c r="V32" i="1"/>
  <c r="T32" i="1"/>
  <c r="S32" i="1"/>
  <c r="D32" i="1"/>
  <c r="V31" i="1"/>
  <c r="T31" i="1"/>
  <c r="S31" i="1"/>
  <c r="U31" i="1" s="1"/>
  <c r="W31" i="1" s="1"/>
  <c r="D31" i="1"/>
  <c r="V30" i="1"/>
  <c r="T30" i="1"/>
  <c r="S30" i="1"/>
  <c r="U30" i="1" s="1"/>
  <c r="X30" i="1" s="1"/>
  <c r="Y30" i="1" s="1"/>
  <c r="D30" i="1"/>
  <c r="V29" i="1"/>
  <c r="T29" i="1"/>
  <c r="S29" i="1"/>
  <c r="U29" i="1" s="1"/>
  <c r="D29" i="1"/>
  <c r="V28" i="1"/>
  <c r="T28" i="1"/>
  <c r="S28" i="1"/>
  <c r="U28" i="1" s="1"/>
  <c r="W28" i="1" s="1"/>
  <c r="D28" i="1"/>
  <c r="V27" i="1"/>
  <c r="T27" i="1"/>
  <c r="S27" i="1"/>
  <c r="U27" i="1" s="1"/>
  <c r="W27" i="1" s="1"/>
  <c r="D27" i="1"/>
  <c r="V26" i="1"/>
  <c r="T26" i="1"/>
  <c r="S26" i="1"/>
  <c r="U26" i="1" s="1"/>
  <c r="W26" i="1" s="1"/>
  <c r="D26" i="1"/>
  <c r="V25" i="1"/>
  <c r="T25" i="1"/>
  <c r="S25" i="1"/>
  <c r="U25" i="1" s="1"/>
  <c r="W25" i="1" s="1"/>
  <c r="D25" i="1"/>
  <c r="V24" i="1"/>
  <c r="T24" i="1"/>
  <c r="S24" i="1"/>
  <c r="U24" i="1" s="1"/>
  <c r="W24" i="1" s="1"/>
  <c r="D24" i="1"/>
  <c r="V23" i="1"/>
  <c r="T23" i="1"/>
  <c r="S23" i="1"/>
  <c r="U23" i="1" s="1"/>
  <c r="W23" i="1" s="1"/>
  <c r="D23" i="1"/>
  <c r="V22" i="1"/>
  <c r="T22" i="1"/>
  <c r="S22" i="1"/>
  <c r="U22" i="1" s="1"/>
  <c r="W22" i="1" s="1"/>
  <c r="D22" i="1"/>
  <c r="V19" i="1"/>
  <c r="T19" i="1"/>
  <c r="S19" i="1"/>
  <c r="U19" i="1" s="1"/>
  <c r="W19" i="1" s="1"/>
  <c r="D19" i="1"/>
  <c r="V18" i="1"/>
  <c r="T18" i="1"/>
  <c r="S18" i="1"/>
  <c r="U18" i="1" s="1"/>
  <c r="W18" i="1" s="1"/>
  <c r="D18" i="1"/>
  <c r="V17" i="1"/>
  <c r="T17" i="1"/>
  <c r="S17" i="1"/>
  <c r="U17" i="1" s="1"/>
  <c r="W17" i="1" s="1"/>
  <c r="D17" i="1"/>
  <c r="V16" i="1"/>
  <c r="T16" i="1"/>
  <c r="S16" i="1"/>
  <c r="U16" i="1" s="1"/>
  <c r="W16" i="1" s="1"/>
  <c r="D16" i="1"/>
  <c r="V15" i="1"/>
  <c r="T15" i="1"/>
  <c r="S15" i="1"/>
  <c r="U15" i="1" s="1"/>
  <c r="W15" i="1" s="1"/>
  <c r="D15" i="1"/>
  <c r="V14" i="1"/>
  <c r="T14" i="1"/>
  <c r="S14" i="1"/>
  <c r="U14" i="1" s="1"/>
  <c r="W14" i="1" s="1"/>
  <c r="D14" i="1"/>
  <c r="V13" i="1"/>
  <c r="T13" i="1"/>
  <c r="S13" i="1"/>
  <c r="U13" i="1" s="1"/>
  <c r="W13" i="1" s="1"/>
  <c r="D13" i="1"/>
  <c r="V12" i="1"/>
  <c r="T12" i="1"/>
  <c r="S12" i="1"/>
  <c r="U12" i="1" s="1"/>
  <c r="W12" i="1" s="1"/>
  <c r="D12" i="1"/>
  <c r="V11" i="1"/>
  <c r="T11" i="1"/>
  <c r="S11" i="1"/>
  <c r="U11" i="1" s="1"/>
  <c r="W11" i="1" s="1"/>
  <c r="D11" i="1"/>
  <c r="V38" i="1"/>
  <c r="T38" i="1"/>
  <c r="S38" i="1"/>
  <c r="U38" i="1" s="1"/>
  <c r="W38" i="1" s="1"/>
  <c r="D38" i="1"/>
  <c r="V80" i="1"/>
  <c r="T80" i="1"/>
  <c r="S80" i="1"/>
  <c r="U80" i="1" s="1"/>
  <c r="W80" i="1" s="1"/>
  <c r="D80" i="1"/>
  <c r="V7" i="1"/>
  <c r="T7" i="1"/>
  <c r="S7" i="1"/>
  <c r="U7" i="1" s="1"/>
  <c r="W7" i="1" s="1"/>
  <c r="D7" i="1"/>
  <c r="V6" i="1"/>
  <c r="T6" i="1"/>
  <c r="S6" i="1"/>
  <c r="U6" i="1" s="1"/>
  <c r="W6" i="1" s="1"/>
  <c r="D6" i="1"/>
  <c r="V5" i="1"/>
  <c r="T5" i="1"/>
  <c r="S5" i="1"/>
  <c r="U5" i="1" s="1"/>
  <c r="W5" i="1" s="1"/>
  <c r="D5" i="1"/>
  <c r="V10" i="1"/>
  <c r="T10" i="1"/>
  <c r="S10" i="1"/>
  <c r="U10" i="1" s="1"/>
  <c r="W10" i="1" s="1"/>
  <c r="D10" i="1"/>
  <c r="V9" i="1"/>
  <c r="T9" i="1"/>
  <c r="S9" i="1"/>
  <c r="U9" i="1" s="1"/>
  <c r="W9" i="1" s="1"/>
  <c r="D9" i="1"/>
  <c r="V8" i="1"/>
  <c r="T8" i="1"/>
  <c r="S8" i="1"/>
  <c r="U8" i="1" s="1"/>
  <c r="D8" i="1"/>
  <c r="R1" i="1"/>
  <c r="Q1" i="1"/>
  <c r="P1" i="1"/>
  <c r="O1" i="1"/>
  <c r="N1" i="1"/>
  <c r="M1" i="1"/>
  <c r="L1" i="1"/>
  <c r="W93" i="1" l="1"/>
  <c r="W72" i="1"/>
  <c r="W30" i="1"/>
  <c r="W45" i="1"/>
  <c r="X65" i="1"/>
  <c r="Y65" i="1" s="1"/>
  <c r="X39" i="1"/>
  <c r="Y39" i="1" s="1"/>
  <c r="X53" i="1"/>
  <c r="Y53" i="1" s="1"/>
  <c r="W58" i="1"/>
  <c r="X70" i="1"/>
  <c r="Y70" i="1" s="1"/>
  <c r="X75" i="1"/>
  <c r="Y75" i="1" s="1"/>
  <c r="U86" i="1"/>
  <c r="W86" i="1" s="1"/>
  <c r="X88" i="1"/>
  <c r="Y88" i="1" s="1"/>
  <c r="X31" i="1"/>
  <c r="Y31" i="1" s="1"/>
  <c r="W48" i="1"/>
  <c r="X72" i="1"/>
  <c r="Y72" i="1" s="1"/>
  <c r="X91" i="1"/>
  <c r="Y91" i="1" s="1"/>
  <c r="X98" i="1"/>
  <c r="Y98" i="1" s="1"/>
  <c r="X34" i="1"/>
  <c r="Y34" i="1" s="1"/>
  <c r="W52" i="1"/>
  <c r="X68" i="1"/>
  <c r="Y68" i="1" s="1"/>
  <c r="X83" i="1"/>
  <c r="Y83" i="1" s="1"/>
  <c r="U72" i="1"/>
  <c r="V1" i="1"/>
  <c r="X62" i="1"/>
  <c r="Y62" i="1" s="1"/>
  <c r="W34" i="1"/>
  <c r="W54" i="1"/>
  <c r="X81" i="1"/>
  <c r="Y81" i="1" s="1"/>
  <c r="X36" i="1"/>
  <c r="Y36" i="1" s="1"/>
  <c r="X47" i="1"/>
  <c r="Y47" i="1" s="1"/>
  <c r="U52" i="1"/>
  <c r="X52" i="1" s="1"/>
  <c r="Y52" i="1" s="1"/>
  <c r="X71" i="1"/>
  <c r="Y71" i="1" s="1"/>
  <c r="X93" i="1"/>
  <c r="Y93" i="1" s="1"/>
  <c r="X45" i="1"/>
  <c r="Y45" i="1" s="1"/>
  <c r="X59" i="1"/>
  <c r="Y59" i="1" s="1"/>
  <c r="W71" i="1"/>
  <c r="X78" i="1"/>
  <c r="Y78" i="1" s="1"/>
  <c r="X89" i="1"/>
  <c r="Y89" i="1" s="1"/>
  <c r="U93" i="1"/>
  <c r="X97" i="1"/>
  <c r="Y97" i="1" s="1"/>
  <c r="X26" i="1"/>
  <c r="Y26" i="1" s="1"/>
  <c r="X37" i="1"/>
  <c r="Y37" i="1" s="1"/>
  <c r="X92" i="1"/>
  <c r="Y92" i="1" s="1"/>
  <c r="X28" i="1"/>
  <c r="Y28" i="1" s="1"/>
  <c r="X51" i="1"/>
  <c r="Y51" i="1" s="1"/>
  <c r="X20" i="1"/>
  <c r="Y20" i="1" s="1"/>
  <c r="X57" i="1"/>
  <c r="Y57" i="1" s="1"/>
  <c r="X41" i="1"/>
  <c r="Y41" i="1" s="1"/>
  <c r="U45" i="1"/>
  <c r="X58" i="1"/>
  <c r="Y58" i="1" s="1"/>
  <c r="X86" i="1"/>
  <c r="Y86" i="1" s="1"/>
  <c r="W92" i="1"/>
  <c r="X101" i="1"/>
  <c r="Y101" i="1" s="1"/>
  <c r="X10" i="1"/>
  <c r="Y10" i="1" s="1"/>
  <c r="X15" i="1"/>
  <c r="Y15" i="1" s="1"/>
  <c r="X23" i="1"/>
  <c r="Y23" i="1" s="1"/>
  <c r="X9" i="1"/>
  <c r="Y9" i="1" s="1"/>
  <c r="X38" i="1"/>
  <c r="Y38" i="1" s="1"/>
  <c r="X18" i="1"/>
  <c r="Y18" i="1" s="1"/>
  <c r="X24" i="1"/>
  <c r="Y24" i="1" s="1"/>
  <c r="X46" i="1"/>
  <c r="Y46" i="1" s="1"/>
  <c r="W46" i="1"/>
  <c r="X94" i="1"/>
  <c r="Y94" i="1" s="1"/>
  <c r="W94" i="1"/>
  <c r="X13" i="1"/>
  <c r="Y13" i="1" s="1"/>
  <c r="X25" i="1"/>
  <c r="Y25" i="1" s="1"/>
  <c r="X50" i="1"/>
  <c r="Y50" i="1" s="1"/>
  <c r="W64" i="1"/>
  <c r="X60" i="1"/>
  <c r="Y60" i="1" s="1"/>
  <c r="W60" i="1"/>
  <c r="W8" i="1"/>
  <c r="X8" i="1"/>
  <c r="X11" i="1"/>
  <c r="Y11" i="1" s="1"/>
  <c r="X33" i="1"/>
  <c r="Y33" i="1" s="1"/>
  <c r="W56" i="1"/>
  <c r="W40" i="1"/>
  <c r="X40" i="1"/>
  <c r="Y40" i="1" s="1"/>
  <c r="X69" i="1"/>
  <c r="Y69" i="1" s="1"/>
  <c r="W74" i="1"/>
  <c r="W87" i="1"/>
  <c r="X87" i="1"/>
  <c r="Y87" i="1" s="1"/>
  <c r="X80" i="1"/>
  <c r="Y80" i="1" s="1"/>
  <c r="X19" i="1"/>
  <c r="Y19" i="1" s="1"/>
  <c r="W63" i="1"/>
  <c r="X63" i="1"/>
  <c r="Y63" i="1" s="1"/>
  <c r="X5" i="1"/>
  <c r="Y5" i="1" s="1"/>
  <c r="X12" i="1"/>
  <c r="Y12" i="1" s="1"/>
  <c r="X16" i="1"/>
  <c r="Y16" i="1" s="1"/>
  <c r="X22" i="1"/>
  <c r="Y22" i="1" s="1"/>
  <c r="X55" i="1"/>
  <c r="Y55" i="1" s="1"/>
  <c r="W55" i="1"/>
  <c r="W29" i="1"/>
  <c r="X29" i="1"/>
  <c r="Y29" i="1" s="1"/>
  <c r="X6" i="1"/>
  <c r="Y6" i="1" s="1"/>
  <c r="X17" i="1"/>
  <c r="Y17" i="1" s="1"/>
  <c r="X27" i="1"/>
  <c r="Y27" i="1" s="1"/>
  <c r="X7" i="1"/>
  <c r="Y7" i="1" s="1"/>
  <c r="X14" i="1"/>
  <c r="Y14" i="1" s="1"/>
  <c r="X67" i="1"/>
  <c r="Y67" i="1" s="1"/>
  <c r="W82" i="1"/>
  <c r="W73" i="1"/>
  <c r="X73" i="1"/>
  <c r="Y73" i="1" s="1"/>
  <c r="U32" i="1"/>
  <c r="X32" i="1" s="1"/>
  <c r="Y32" i="1" s="1"/>
  <c r="W20" i="1"/>
  <c r="U21" i="1"/>
  <c r="X21" i="1" s="1"/>
  <c r="Y21" i="1" s="1"/>
  <c r="W81" i="1"/>
  <c r="U42" i="1"/>
  <c r="W42" i="1" s="1"/>
  <c r="W44" i="1"/>
  <c r="U49" i="1"/>
  <c r="X49" i="1" s="1"/>
  <c r="Y49" i="1" s="1"/>
  <c r="W51" i="1"/>
  <c r="U66" i="1"/>
  <c r="X66" i="1" s="1"/>
  <c r="Y66" i="1" s="1"/>
  <c r="W68" i="1"/>
  <c r="U84" i="1"/>
  <c r="X84" i="1" s="1"/>
  <c r="Y84" i="1" s="1"/>
  <c r="W70" i="1"/>
  <c r="U76" i="1"/>
  <c r="W76" i="1" s="1"/>
  <c r="W78" i="1"/>
  <c r="U90" i="1"/>
  <c r="X90" i="1" s="1"/>
  <c r="Y90" i="1" s="1"/>
  <c r="W91" i="1"/>
  <c r="U99" i="1"/>
  <c r="X99" i="1" s="1"/>
  <c r="Y99" i="1" s="1"/>
  <c r="W101" i="1"/>
  <c r="X105" i="1"/>
  <c r="Y105" i="1" s="1"/>
  <c r="W105" i="1"/>
  <c r="X111" i="1"/>
  <c r="Y111" i="1" s="1"/>
  <c r="W111" i="1"/>
  <c r="W35" i="1"/>
  <c r="W69" i="1"/>
  <c r="W77" i="1"/>
  <c r="W100" i="1"/>
  <c r="X109" i="1"/>
  <c r="Y109" i="1" s="1"/>
  <c r="W109" i="1"/>
  <c r="W33" i="1"/>
  <c r="W43" i="1"/>
  <c r="W50" i="1"/>
  <c r="W67" i="1"/>
  <c r="W79" i="1"/>
  <c r="X103" i="1"/>
  <c r="Y103" i="1" s="1"/>
  <c r="W103" i="1"/>
  <c r="W32" i="1"/>
  <c r="W21" i="1"/>
  <c r="W66" i="1"/>
  <c r="W90" i="1"/>
  <c r="W99" i="1"/>
  <c r="X96" i="1"/>
  <c r="Y96" i="1" s="1"/>
  <c r="W96" i="1"/>
  <c r="S1" i="1"/>
  <c r="X104" i="1"/>
  <c r="Y104" i="1" s="1"/>
  <c r="W104" i="1"/>
  <c r="X110" i="1"/>
  <c r="Y110" i="1" s="1"/>
  <c r="W110" i="1"/>
  <c r="T1" i="1"/>
  <c r="X102" i="1"/>
  <c r="Y102" i="1" s="1"/>
  <c r="W102" i="1"/>
  <c r="X108" i="1"/>
  <c r="Y108" i="1" s="1"/>
  <c r="W108" i="1"/>
  <c r="X106" i="1"/>
  <c r="Y106" i="1" s="1"/>
  <c r="W106" i="1"/>
  <c r="X112" i="1"/>
  <c r="Y112" i="1" s="1"/>
  <c r="W112" i="1"/>
  <c r="X61" i="1"/>
  <c r="Y61" i="1" s="1"/>
  <c r="W61" i="1"/>
  <c r="X95" i="1"/>
  <c r="Y95" i="1" s="1"/>
  <c r="W95" i="1"/>
  <c r="X107" i="1"/>
  <c r="Y107" i="1" s="1"/>
  <c r="W107" i="1"/>
  <c r="W49" i="1" l="1"/>
  <c r="W1" i="1" s="1"/>
  <c r="X42" i="1"/>
  <c r="Y42" i="1" s="1"/>
  <c r="X76" i="1"/>
  <c r="Y76" i="1" s="1"/>
  <c r="Y8" i="1"/>
  <c r="X1" i="1"/>
  <c r="U1" i="1"/>
  <c r="W84" i="1"/>
</calcChain>
</file>

<file path=xl/sharedStrings.xml><?xml version="1.0" encoding="utf-8"?>
<sst xmlns="http://schemas.openxmlformats.org/spreadsheetml/2006/main" count="681" uniqueCount="236">
  <si>
    <t>männlich: akzeleriert &lt; 13,3 normal 14.7 &lt; retardiert</t>
  </si>
  <si>
    <t>Mittelwert</t>
  </si>
  <si>
    <t>Altersklasse biologisches Alter</t>
  </si>
  <si>
    <t>weiblich: akzeleriert &lt; 11.5 normal 12.9 &lt; retardiert</t>
  </si>
  <si>
    <t>peak heigh velocity</t>
  </si>
  <si>
    <t>years away from PHV</t>
  </si>
  <si>
    <t>Höhe Sitzfläche →</t>
  </si>
  <si>
    <t>cm</t>
  </si>
  <si>
    <t>ID</t>
  </si>
  <si>
    <t>Nachname</t>
  </si>
  <si>
    <t>Vorname</t>
  </si>
  <si>
    <t>Name</t>
  </si>
  <si>
    <t>Geburtsdatum</t>
  </si>
  <si>
    <t>Testdatum</t>
  </si>
  <si>
    <t>Saison</t>
  </si>
  <si>
    <t>Testzeitpunkt</t>
  </si>
  <si>
    <t>Team</t>
  </si>
  <si>
    <t>Position</t>
  </si>
  <si>
    <t>Geschlecht</t>
  </si>
  <si>
    <t>Trainingsalter</t>
  </si>
  <si>
    <t>Größe</t>
  </si>
  <si>
    <t>Sitzgröße gemessen</t>
  </si>
  <si>
    <t>Gewicht</t>
  </si>
  <si>
    <t>Armspannweite</t>
  </si>
  <si>
    <t>Größe Mutter</t>
  </si>
  <si>
    <t>Größe Vater</t>
  </si>
  <si>
    <t>Sitzgröße berechnet</t>
  </si>
  <si>
    <t>chrono. Alter</t>
  </si>
  <si>
    <t>Beinlänge</t>
  </si>
  <si>
    <t>BMI</t>
  </si>
  <si>
    <t>PHV</t>
  </si>
  <si>
    <t>YAPHV</t>
  </si>
  <si>
    <t>AK_Bio</t>
  </si>
  <si>
    <t>Jang</t>
  </si>
  <si>
    <t>Batu</t>
  </si>
  <si>
    <t>21/22</t>
  </si>
  <si>
    <t>Winter 22</t>
  </si>
  <si>
    <t>U10.1</t>
  </si>
  <si>
    <t>männlich</t>
  </si>
  <si>
    <t>Ossendoth</t>
  </si>
  <si>
    <t>Oskar</t>
  </si>
  <si>
    <t>Schröder</t>
  </si>
  <si>
    <t>Finn</t>
  </si>
  <si>
    <t>Krug</t>
  </si>
  <si>
    <t>Rafael Noah</t>
  </si>
  <si>
    <t>U10</t>
  </si>
  <si>
    <t>Akyol</t>
  </si>
  <si>
    <t>Devin</t>
  </si>
  <si>
    <t>Rosenbohm</t>
  </si>
  <si>
    <t>Mats</t>
  </si>
  <si>
    <t>Arne</t>
  </si>
  <si>
    <t>U14.2</t>
  </si>
  <si>
    <t>Friedrich</t>
  </si>
  <si>
    <t>Amelie</t>
  </si>
  <si>
    <t>U12.1</t>
  </si>
  <si>
    <t>weiblich</t>
  </si>
  <si>
    <t>Emma</t>
  </si>
  <si>
    <t>Ritter</t>
  </si>
  <si>
    <t>Elea Sophie</t>
  </si>
  <si>
    <t>Agu</t>
  </si>
  <si>
    <t>Elita</t>
  </si>
  <si>
    <t>Hartung</t>
  </si>
  <si>
    <t>Nele</t>
  </si>
  <si>
    <t>Adesokan</t>
  </si>
  <si>
    <t>Blessing</t>
  </si>
  <si>
    <t>Lampka</t>
  </si>
  <si>
    <t>Lynn</t>
  </si>
  <si>
    <t>Sattler</t>
  </si>
  <si>
    <t>July</t>
  </si>
  <si>
    <t>Tertel</t>
  </si>
  <si>
    <t>Johanna</t>
  </si>
  <si>
    <t>Ruppert</t>
  </si>
  <si>
    <t>Ida</t>
  </si>
  <si>
    <t>Yapali</t>
  </si>
  <si>
    <t>Robin</t>
  </si>
  <si>
    <t>U10.2</t>
  </si>
  <si>
    <t>Wietholt</t>
  </si>
  <si>
    <t>Koentjoro</t>
  </si>
  <si>
    <t>Jannis</t>
  </si>
  <si>
    <t xml:space="preserve">Stolze </t>
  </si>
  <si>
    <t>Benjamin</t>
  </si>
  <si>
    <t>Kempe</t>
  </si>
  <si>
    <t>Levi</t>
  </si>
  <si>
    <t>Sahnaci</t>
  </si>
  <si>
    <t>Levent</t>
  </si>
  <si>
    <t>Knoche</t>
  </si>
  <si>
    <t>Philipp</t>
  </si>
  <si>
    <t>Kutschka</t>
  </si>
  <si>
    <t>Leo</t>
  </si>
  <si>
    <t>Hickert</t>
  </si>
  <si>
    <t>Fliegenschmidt</t>
  </si>
  <si>
    <t>Fritz</t>
  </si>
  <si>
    <t>Glodan</t>
  </si>
  <si>
    <t>Nathaniel</t>
  </si>
  <si>
    <t>Danilowski</t>
  </si>
  <si>
    <t>Paul</t>
  </si>
  <si>
    <t>Wackerbeck</t>
  </si>
  <si>
    <t>Karimi-Ivanaki</t>
  </si>
  <si>
    <t>Milan</t>
  </si>
  <si>
    <t>Loch</t>
  </si>
  <si>
    <t>Madita</t>
  </si>
  <si>
    <t>U12.2</t>
  </si>
  <si>
    <t>Jesse</t>
  </si>
  <si>
    <t>Friederike</t>
  </si>
  <si>
    <t>Bungardt</t>
  </si>
  <si>
    <t>Paula</t>
  </si>
  <si>
    <t>Musial</t>
  </si>
  <si>
    <t>Anna</t>
  </si>
  <si>
    <t>Hennen</t>
  </si>
  <si>
    <t>Marie</t>
  </si>
  <si>
    <t>Breucker</t>
  </si>
  <si>
    <t>Hugo</t>
  </si>
  <si>
    <t>Tegeler</t>
  </si>
  <si>
    <t>Mara</t>
  </si>
  <si>
    <t>Flora</t>
  </si>
  <si>
    <t>Eckervogt</t>
  </si>
  <si>
    <t>U10.3</t>
  </si>
  <si>
    <t xml:space="preserve">Urbach </t>
  </si>
  <si>
    <t>Mila</t>
  </si>
  <si>
    <t>Joneidi</t>
  </si>
  <si>
    <t>Elisa</t>
  </si>
  <si>
    <t>Behr</t>
  </si>
  <si>
    <t>Julian</t>
  </si>
  <si>
    <t>Kunzmann</t>
  </si>
  <si>
    <t>Sophia</t>
  </si>
  <si>
    <t>Tjia</t>
  </si>
  <si>
    <t>Samuel</t>
  </si>
  <si>
    <t>Pfortje</t>
  </si>
  <si>
    <t>Claas</t>
  </si>
  <si>
    <t>Oberwinder</t>
  </si>
  <si>
    <t>Scholz</t>
  </si>
  <si>
    <t>Emilia</t>
  </si>
  <si>
    <t>U14.1</t>
  </si>
  <si>
    <t>Horst</t>
  </si>
  <si>
    <t>Altmann</t>
  </si>
  <si>
    <t xml:space="preserve">Johann </t>
  </si>
  <si>
    <t xml:space="preserve">Mohr </t>
  </si>
  <si>
    <t>Arjan</t>
  </si>
  <si>
    <t xml:space="preserve">Fahrendorf </t>
  </si>
  <si>
    <t>Nick</t>
  </si>
  <si>
    <t xml:space="preserve">Streich </t>
  </si>
  <si>
    <t>Jonathan</t>
  </si>
  <si>
    <t>Virakas</t>
  </si>
  <si>
    <t>Aras</t>
  </si>
  <si>
    <t>Vejas</t>
  </si>
  <si>
    <t>Bayoudh</t>
  </si>
  <si>
    <t>Rayan</t>
  </si>
  <si>
    <t>Borg</t>
  </si>
  <si>
    <t>Mirja</t>
  </si>
  <si>
    <t>Brun</t>
  </si>
  <si>
    <t>Lucy</t>
  </si>
  <si>
    <t>Gorn</t>
  </si>
  <si>
    <t>Lola</t>
  </si>
  <si>
    <t>Kühme</t>
  </si>
  <si>
    <t>Rosa</t>
  </si>
  <si>
    <t>Luisa</t>
  </si>
  <si>
    <t>Salazar Gahmann</t>
  </si>
  <si>
    <t>Maite</t>
  </si>
  <si>
    <t>Mertes</t>
  </si>
  <si>
    <t>Leon</t>
  </si>
  <si>
    <t>Steinkamp</t>
  </si>
  <si>
    <t>Franco Lopez</t>
  </si>
  <si>
    <t>Damian</t>
  </si>
  <si>
    <t>Hölken</t>
  </si>
  <si>
    <t>Djamy Sandra</t>
  </si>
  <si>
    <t>Keinert</t>
  </si>
  <si>
    <t>Emely</t>
  </si>
  <si>
    <t xml:space="preserve">Sieber </t>
  </si>
  <si>
    <t>Lucie</t>
  </si>
  <si>
    <t>Heinrich</t>
  </si>
  <si>
    <t>Ben Alexander</t>
  </si>
  <si>
    <t>Schmelzer</t>
  </si>
  <si>
    <t>Chantladze</t>
  </si>
  <si>
    <t>Andreas</t>
  </si>
  <si>
    <t>Talu</t>
  </si>
  <si>
    <t>Khan</t>
  </si>
  <si>
    <t>Elias</t>
  </si>
  <si>
    <t>Halilbasic</t>
  </si>
  <si>
    <t>Adel</t>
  </si>
  <si>
    <t>Baumann</t>
  </si>
  <si>
    <t>Jan Tim</t>
  </si>
  <si>
    <t>Mackowiak</t>
  </si>
  <si>
    <t>Gero</t>
  </si>
  <si>
    <t>Buchberger</t>
  </si>
  <si>
    <t>Tristan</t>
  </si>
  <si>
    <t>Schiedung</t>
  </si>
  <si>
    <t>Sterling Marc</t>
  </si>
  <si>
    <t>Kurt</t>
  </si>
  <si>
    <t>Eliyas</t>
  </si>
  <si>
    <t>Lasse</t>
  </si>
  <si>
    <t>Wierschin</t>
  </si>
  <si>
    <t>David</t>
  </si>
  <si>
    <t>Gustuciu</t>
  </si>
  <si>
    <t>Erik</t>
  </si>
  <si>
    <t>Rudolph</t>
  </si>
  <si>
    <t xml:space="preserve">Emil </t>
  </si>
  <si>
    <t>Klüsekamp</t>
  </si>
  <si>
    <t>Bojic</t>
  </si>
  <si>
    <t>Aleksander</t>
  </si>
  <si>
    <t>Düppe</t>
  </si>
  <si>
    <t>Tsiokas</t>
  </si>
  <si>
    <t>Dimitrios</t>
  </si>
  <si>
    <t>Nikolos</t>
  </si>
  <si>
    <t>Wagner</t>
  </si>
  <si>
    <t>U14.3</t>
  </si>
  <si>
    <t>Gowitzke</t>
  </si>
  <si>
    <t>Böer</t>
  </si>
  <si>
    <t>Yanis</t>
  </si>
  <si>
    <t>Cipion</t>
  </si>
  <si>
    <t>Malik</t>
  </si>
  <si>
    <t>Kleindienst</t>
  </si>
  <si>
    <t>Schulze</t>
  </si>
  <si>
    <t>Jason</t>
  </si>
  <si>
    <t>Glockner</t>
  </si>
  <si>
    <t>Juri</t>
  </si>
  <si>
    <t>Seitz</t>
  </si>
  <si>
    <t>Carl</t>
  </si>
  <si>
    <t>Groll</t>
  </si>
  <si>
    <t>Julius Quintus</t>
  </si>
  <si>
    <t>Funikov</t>
  </si>
  <si>
    <t>Dimitriy</t>
  </si>
  <si>
    <t>Kakarifis</t>
  </si>
  <si>
    <t>Palali</t>
  </si>
  <si>
    <t>Alper</t>
  </si>
  <si>
    <t>Konert</t>
  </si>
  <si>
    <t>Theo</t>
  </si>
  <si>
    <t>Meißner</t>
  </si>
  <si>
    <t>Emjay</t>
  </si>
  <si>
    <t>Curstein</t>
  </si>
  <si>
    <t>Eric</t>
  </si>
  <si>
    <t>Idris</t>
  </si>
  <si>
    <t>Johar Ruben</t>
  </si>
  <si>
    <t>Boßert</t>
  </si>
  <si>
    <t>Moritz</t>
  </si>
  <si>
    <t>Amir Hagen</t>
  </si>
  <si>
    <t>Grabinski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</si>
</sst>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left" vertical="center"/>
    </xf>
    <xf numFmtId="0" fontId="0" fillId="4" borderId="0" xfId="0" applyFill="1"/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0" fontId="3" fillId="5" borderId="0" xfId="0" applyFont="1" applyFill="1" applyAlignment="1">
      <alignment horizontal="left" vertical="center"/>
    </xf>
  </cellXfs>
  <cellStyles count="1">
    <cellStyle name="Standard" xfId="0" builtinId="0"/>
  </cellStyles>
  <dxfs count="25">
    <dxf>
      <numFmt numFmtId="0" formatCode="General"/>
      <alignment horizontal="left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HV%20Berechnung,%20Sprint%20Einga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neingbe Anthro"/>
      <sheetName val="Sprint - Diagnostik"/>
      <sheetName val="Sprint - Rohdatenexport"/>
    </sheetNames>
    <sheetDataSet>
      <sheetData sheetId="0"/>
      <sheetData sheetId="1"/>
      <sheetData sheetId="2">
        <row r="2">
          <cell r="M2">
            <v>1</v>
          </cell>
          <cell r="N2">
            <v>2</v>
          </cell>
          <cell r="O2">
            <v>3</v>
          </cell>
          <cell r="P2">
            <v>4</v>
          </cell>
          <cell r="Q2">
            <v>5</v>
          </cell>
          <cell r="R2">
            <v>6</v>
          </cell>
          <cell r="S2">
            <v>7</v>
          </cell>
          <cell r="T2">
            <v>8</v>
          </cell>
          <cell r="U2">
            <v>9</v>
          </cell>
          <cell r="V2">
            <v>10</v>
          </cell>
          <cell r="W2">
            <v>11</v>
          </cell>
          <cell r="X2">
            <v>12</v>
          </cell>
          <cell r="Y2">
            <v>13</v>
          </cell>
          <cell r="Z2">
            <v>14</v>
          </cell>
          <cell r="AA2">
            <v>15</v>
          </cell>
          <cell r="AB2">
            <v>16</v>
          </cell>
          <cell r="AC2">
            <v>17</v>
          </cell>
          <cell r="AD2">
            <v>18</v>
          </cell>
          <cell r="AE2">
            <v>19</v>
          </cell>
          <cell r="AF2">
            <v>20</v>
          </cell>
          <cell r="AG2">
            <v>21</v>
          </cell>
          <cell r="AH2">
            <v>22</v>
          </cell>
          <cell r="AI2">
            <v>23</v>
          </cell>
          <cell r="AJ2">
            <v>24</v>
          </cell>
          <cell r="AK2">
            <v>25</v>
          </cell>
          <cell r="AL2">
            <v>26</v>
          </cell>
          <cell r="AM2">
            <v>27</v>
          </cell>
          <cell r="AN2">
            <v>28</v>
          </cell>
          <cell r="AO2">
            <v>29</v>
          </cell>
          <cell r="AP2">
            <v>30</v>
          </cell>
          <cell r="AQ2">
            <v>31</v>
          </cell>
          <cell r="AR2">
            <v>32</v>
          </cell>
          <cell r="AS2">
            <v>33</v>
          </cell>
          <cell r="AT2">
            <v>34</v>
          </cell>
          <cell r="AU2">
            <v>35</v>
          </cell>
          <cell r="AV2">
            <v>36</v>
          </cell>
          <cell r="AW2">
            <v>37</v>
          </cell>
          <cell r="AX2">
            <v>38</v>
          </cell>
          <cell r="AY2">
            <v>39</v>
          </cell>
          <cell r="AZ2">
            <v>40</v>
          </cell>
          <cell r="BA2">
            <v>41</v>
          </cell>
          <cell r="BB2">
            <v>42</v>
          </cell>
          <cell r="BC2">
            <v>43</v>
          </cell>
          <cell r="BD2">
            <v>44</v>
          </cell>
          <cell r="BE2">
            <v>45</v>
          </cell>
          <cell r="BF2">
            <v>46</v>
          </cell>
          <cell r="BG2">
            <v>47</v>
          </cell>
          <cell r="BH2">
            <v>48</v>
          </cell>
          <cell r="BI2">
            <v>49</v>
          </cell>
          <cell r="BJ2">
            <v>50</v>
          </cell>
          <cell r="BK2">
            <v>51</v>
          </cell>
          <cell r="BL2">
            <v>52</v>
          </cell>
          <cell r="BM2">
            <v>53</v>
          </cell>
          <cell r="BN2">
            <v>54</v>
          </cell>
          <cell r="BO2">
            <v>55</v>
          </cell>
          <cell r="BP2">
            <v>56</v>
          </cell>
          <cell r="BQ2">
            <v>57</v>
          </cell>
          <cell r="BR2">
            <v>58</v>
          </cell>
          <cell r="BS2">
            <v>59</v>
          </cell>
          <cell r="BT2">
            <v>60</v>
          </cell>
          <cell r="BU2">
            <v>61</v>
          </cell>
          <cell r="BV2">
            <v>62</v>
          </cell>
          <cell r="BW2">
            <v>63</v>
          </cell>
          <cell r="BX2">
            <v>64</v>
          </cell>
          <cell r="BY2">
            <v>65</v>
          </cell>
          <cell r="BZ2">
            <v>66</v>
          </cell>
          <cell r="CA2">
            <v>67</v>
          </cell>
          <cell r="CB2">
            <v>68</v>
          </cell>
          <cell r="CC2">
            <v>69</v>
          </cell>
          <cell r="CD2">
            <v>70</v>
          </cell>
          <cell r="CE2">
            <v>71</v>
          </cell>
          <cell r="CF2">
            <v>72</v>
          </cell>
          <cell r="CG2">
            <v>73</v>
          </cell>
          <cell r="CH2">
            <v>74</v>
          </cell>
          <cell r="CI2">
            <v>75</v>
          </cell>
          <cell r="CJ2">
            <v>76</v>
          </cell>
          <cell r="CK2">
            <v>77</v>
          </cell>
          <cell r="CL2">
            <v>78</v>
          </cell>
          <cell r="CM2">
            <v>79</v>
          </cell>
          <cell r="CN2">
            <v>80</v>
          </cell>
          <cell r="CO2">
            <v>81</v>
          </cell>
          <cell r="CP2">
            <v>82</v>
          </cell>
          <cell r="CQ2">
            <v>83</v>
          </cell>
          <cell r="CR2">
            <v>84</v>
          </cell>
          <cell r="CS2">
            <v>85</v>
          </cell>
          <cell r="CT2">
            <v>86</v>
          </cell>
          <cell r="CU2">
            <v>87</v>
          </cell>
          <cell r="CV2">
            <v>88</v>
          </cell>
          <cell r="CW2">
            <v>89</v>
          </cell>
          <cell r="CX2">
            <v>90</v>
          </cell>
          <cell r="CY2">
            <v>91</v>
          </cell>
          <cell r="CZ2">
            <v>92</v>
          </cell>
          <cell r="DA2">
            <v>93</v>
          </cell>
          <cell r="DB2">
            <v>94</v>
          </cell>
          <cell r="DC2">
            <v>95</v>
          </cell>
          <cell r="DD2">
            <v>96</v>
          </cell>
          <cell r="DE2">
            <v>97</v>
          </cell>
          <cell r="DF2">
            <v>98</v>
          </cell>
          <cell r="DG2">
            <v>99</v>
          </cell>
          <cell r="DH2">
            <v>100</v>
          </cell>
          <cell r="DI2">
            <v>101</v>
          </cell>
          <cell r="DJ2">
            <v>102</v>
          </cell>
          <cell r="DK2">
            <v>103</v>
          </cell>
          <cell r="DL2">
            <v>104</v>
          </cell>
          <cell r="DM2">
            <v>105</v>
          </cell>
          <cell r="DN2">
            <v>106</v>
          </cell>
          <cell r="DO2">
            <v>107</v>
          </cell>
          <cell r="DP2">
            <v>108</v>
          </cell>
          <cell r="DQ2">
            <v>109</v>
          </cell>
          <cell r="DR2">
            <v>110</v>
          </cell>
          <cell r="DS2">
            <v>111</v>
          </cell>
          <cell r="DT2">
            <v>112</v>
          </cell>
          <cell r="DU2">
            <v>113</v>
          </cell>
          <cell r="DV2">
            <v>114</v>
          </cell>
          <cell r="DW2">
            <v>115</v>
          </cell>
          <cell r="DX2">
            <v>116</v>
          </cell>
          <cell r="DY2">
            <v>117</v>
          </cell>
          <cell r="DZ2">
            <v>118</v>
          </cell>
          <cell r="EA2">
            <v>119</v>
          </cell>
          <cell r="EB2">
            <v>120</v>
          </cell>
          <cell r="EC2">
            <v>121</v>
          </cell>
          <cell r="ED2">
            <v>122</v>
          </cell>
          <cell r="EE2">
            <v>123</v>
          </cell>
          <cell r="EF2">
            <v>124</v>
          </cell>
          <cell r="EG2">
            <v>125</v>
          </cell>
          <cell r="EH2">
            <v>126</v>
          </cell>
          <cell r="EI2">
            <v>127</v>
          </cell>
          <cell r="EJ2">
            <v>128</v>
          </cell>
          <cell r="EK2">
            <v>129</v>
          </cell>
          <cell r="EL2">
            <v>130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0E4C4B-18FE-44D1-8AC0-4D4D3FF5CA6E}" name="TBL_PHV" displayName="TBL_PHV" ref="A4:Y112" totalsRowShown="0" headerRowDxfId="24">
  <autoFilter ref="A4:Y112" xr:uid="{A50F9A4F-7091-4CF2-B955-1C03FABC8363}"/>
  <sortState xmlns:xlrd2="http://schemas.microsoft.com/office/spreadsheetml/2017/richdata2" ref="A5:Y112">
    <sortCondition ref="I4:I112"/>
  </sortState>
  <tableColumns count="25">
    <tableColumn id="1" xr3:uid="{7C30C2DC-C341-4D0B-B812-EED7FFEC4146}" name="ID"/>
    <tableColumn id="2" xr3:uid="{21DF8060-043A-4A54-9A8D-C6A988FEC0D4}" name="Nachname" dataDxfId="23"/>
    <tableColumn id="3" xr3:uid="{CF1EF159-2DCD-489F-BAAD-6037223FAF0D}" name="Vorname" dataDxfId="22"/>
    <tableColumn id="4" xr3:uid="{095F77FC-0846-4D52-9A17-3C239CB50063}" name="Name" dataDxfId="21">
      <calculatedColumnFormula>_xlfn.TEXTJOIN(" ",TRUE,TBL_PHV[[#This Row],[Vorname]],TBL_PHV[[#This Row],[Nachname]])</calculatedColumnFormula>
    </tableColumn>
    <tableColumn id="5" xr3:uid="{98C91A48-FFE8-4F6E-998C-3AD2517B2128}" name="Geburtsdatum" dataDxfId="20"/>
    <tableColumn id="6" xr3:uid="{9AA58FA0-3A0E-41E8-B556-AA91206AC836}" name="Testdatum" dataDxfId="19"/>
    <tableColumn id="21" xr3:uid="{61341811-4B91-4DCC-8CD0-085B57D93629}" name="Saison" dataDxfId="18"/>
    <tableColumn id="22" xr3:uid="{0EE79E63-D3A5-4D2F-B8ED-F987596D9773}" name="Testzeitpunkt" dataDxfId="17"/>
    <tableColumn id="18" xr3:uid="{94637BF2-607E-4C3D-9050-2FC7954A270D}" name="Team" dataDxfId="16"/>
    <tableColumn id="7" xr3:uid="{5C8F77B8-C604-4C78-B7B7-79BCCADEFEE7}" name="Position" dataDxfId="15"/>
    <tableColumn id="13" xr3:uid="{A8EF67B5-2C72-45E5-8FC4-5CFB74F3187E}" name="Geschlecht" dataDxfId="14"/>
    <tableColumn id="23" xr3:uid="{136B5582-8A9E-4093-951C-5D70A08DF397}" name="Trainingsalter" dataDxfId="13"/>
    <tableColumn id="8" xr3:uid="{401DB9BC-65F4-4537-917C-D94580193B09}" name="Größe" dataDxfId="12"/>
    <tableColumn id="9" xr3:uid="{56EF9840-78E0-425D-BF86-D469E08B801B}" name="Sitzgröße gemessen" dataDxfId="11"/>
    <tableColumn id="10" xr3:uid="{BA2E30E6-4184-4394-AB3A-1A88B41FF044}" name="Gewicht" dataDxfId="10"/>
    <tableColumn id="16" xr3:uid="{75E44F2E-5CB6-4464-96CF-29E4BDBE2EFD}" name="Armspannweite" dataDxfId="9"/>
    <tableColumn id="25" xr3:uid="{36297A78-3A21-49CF-8E7C-7C4CF86413C8}" name="Größe Mutter" dataDxfId="8"/>
    <tableColumn id="24" xr3:uid="{3E25DF27-CB65-4FAB-AF34-BA25E05D48D6}" name="Größe Vater" dataDxfId="7"/>
    <tableColumn id="11" xr3:uid="{DC769379-4B0F-4BE3-9F2D-83299B80733E}" name="Sitzgröße berechnet" dataDxfId="6">
      <calculatedColumnFormula>IF(TBL_PHV[[#This Row],[Sitzgröße gemessen]]="","",TBL_PHV[[#This Row],[Sitzgröße gemessen]]-$S$3)</calculatedColumnFormula>
    </tableColumn>
    <tableColumn id="20" xr3:uid="{5AA4E514-7105-4AB4-86C5-AB1D2BCC92DD}" name="chrono. Alter" dataDxfId="5">
      <calculatedColumnFormula>IF(TBL_PHV[[#This Row],[Testdatum]]="","",YEARFRAC(TBL_PHV[[#This Row],[Geburtsdatum]],TBL_PHV[[#This Row],[Testdatum]]))</calculatedColumnFormula>
    </tableColumn>
    <tableColumn id="12" xr3:uid="{60107462-FFDE-4C53-A7E7-E035A76A3C85}" name="Beinlänge" dataDxfId="4">
      <calculatedColumnFormula>IF(TBL_PHV[[#This Row],[Sitzgröße berechnet]]="","",TBL_PHV[[#This Row],[Größe]]-TBL_PHV[[#This Row],[Sitzgröße berechnet]])</calculatedColumnFormula>
    </tableColumn>
    <tableColumn id="15" xr3:uid="{140D65EF-C16F-4FFE-837B-79B1113F37E9}" name="BMI" dataDxfId="3">
      <calculatedColumnFormula>IF(TBL_PHV[[#This Row],[Gewicht]]="","",TBL_PHV[[#This Row],[Gewicht]]/(TBL_PHV[[#This Row],[Größe]]/100)^2)</calculatedColumnFormula>
    </tableColumn>
    <tableColumn id="14" xr3:uid="{8FAEBA05-4B6A-4A38-ACB7-3A10C718C4F7}" name="PHV" dataDxfId="2">
      <calculatedColumnFormula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calculatedColumnFormula>
    </tableColumn>
    <tableColumn id="19" xr3:uid="{6D0D4549-BBA6-4371-9A14-6BE83C93C7E4}" name="YAPHV" dataDxfId="1">
      <calculatedColumnFormula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calculatedColumnFormula>
    </tableColumn>
    <tableColumn id="17" xr3:uid="{8341A370-D724-49A0-A64B-BDEB86960B93}" name="AK_Bio" dataDxfId="0">
      <calculatedColumnFormula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BFD4-7B24-465F-82D3-E4AC801D1725}">
  <dimension ref="A1:AH112"/>
  <sheetViews>
    <sheetView showGridLines="0" tabSelected="1" zoomScale="85" zoomScaleNormal="85" workbookViewId="0">
      <selection activeCell="T6" sqref="T6"/>
    </sheetView>
  </sheetViews>
  <sheetFormatPr baseColWidth="10" defaultColWidth="4.3984375" defaultRowHeight="13.8" x14ac:dyDescent="0.25"/>
  <cols>
    <col min="1" max="1" width="5.296875" bestFit="1" customWidth="1"/>
    <col min="2" max="2" width="15.59765625" bestFit="1" customWidth="1"/>
    <col min="3" max="3" width="13" bestFit="1" customWidth="1"/>
    <col min="4" max="4" width="21.19921875" bestFit="1" customWidth="1"/>
    <col min="5" max="5" width="16.19921875" bestFit="1" customWidth="1"/>
    <col min="6" max="6" width="12.8984375" bestFit="1" customWidth="1"/>
    <col min="7" max="7" width="9.59765625" customWidth="1"/>
    <col min="8" max="8" width="15.59765625" bestFit="1" customWidth="1"/>
    <col min="9" max="9" width="8.296875" bestFit="1" customWidth="1"/>
    <col min="10" max="10" width="10.796875" bestFit="1" customWidth="1"/>
    <col min="11" max="11" width="13.5" bestFit="1" customWidth="1"/>
    <col min="12" max="12" width="15.69921875" bestFit="1" customWidth="1"/>
    <col min="13" max="13" width="8.8984375" bestFit="1" customWidth="1"/>
    <col min="14" max="14" width="22" bestFit="1" customWidth="1"/>
    <col min="15" max="15" width="10.69921875" bestFit="1" customWidth="1"/>
    <col min="16" max="16" width="17.3984375" bestFit="1" customWidth="1"/>
    <col min="17" max="17" width="15" bestFit="1" customWidth="1"/>
    <col min="18" max="18" width="16.09765625" bestFit="1" customWidth="1"/>
    <col min="19" max="19" width="21.69921875" bestFit="1" customWidth="1"/>
    <col min="20" max="20" width="14.8984375" bestFit="1" customWidth="1"/>
    <col min="21" max="21" width="12.5" bestFit="1" customWidth="1"/>
    <col min="22" max="22" width="6.796875" bestFit="1" customWidth="1"/>
    <col min="23" max="23" width="12.69921875" customWidth="1"/>
    <col min="24" max="24" width="9.8984375" bestFit="1" customWidth="1"/>
    <col min="25" max="25" width="15.19921875" bestFit="1" customWidth="1"/>
  </cols>
  <sheetData>
    <row r="1" spans="1:34" x14ac:dyDescent="0.25">
      <c r="K1" t="s">
        <v>1</v>
      </c>
      <c r="L1" s="1">
        <f>SUBTOTAL(101,TBL_PHV[Trainingsalter])</f>
        <v>2.8287037037037037</v>
      </c>
      <c r="M1" s="1">
        <f>SUBTOTAL(101,TBL_PHV[Größe])</f>
        <v>155.24629629629629</v>
      </c>
      <c r="N1" s="1">
        <f>SUBTOTAL(101,TBL_PHV[Sitzgröße gemessen])</f>
        <v>121.56944444444444</v>
      </c>
      <c r="O1" s="1">
        <f>SUBTOTAL(101,TBL_PHV[Gewicht])</f>
        <v>46.013888888888907</v>
      </c>
      <c r="P1" s="1">
        <f>SUBTOTAL(101,TBL_PHV[Armspannweite])</f>
        <v>153.38425925925927</v>
      </c>
      <c r="Q1" s="1">
        <f>SUBTOTAL(101,TBL_PHV[Größe Mutter])</f>
        <v>169.96153846153845</v>
      </c>
      <c r="R1" s="1">
        <f>SUBTOTAL(101,TBL_PHV[Größe Vater])</f>
        <v>184.56190476190477</v>
      </c>
      <c r="S1" s="1">
        <f>SUBTOTAL(101,TBL_PHV[Sitzgröße berechnet])</f>
        <v>76.569444444444443</v>
      </c>
      <c r="T1" s="1">
        <f>SUBTOTAL(101,TBL_PHV[chrono. Alter])</f>
        <v>11.281635802469134</v>
      </c>
      <c r="U1" s="1">
        <f>SUBTOTAL(101,TBL_PHV[Beinlänge])</f>
        <v>78.67685185185185</v>
      </c>
      <c r="V1" s="1">
        <f>SUBTOTAL(101,TBL_PHV[BMI])</f>
        <v>18.666144263164579</v>
      </c>
      <c r="W1" s="1">
        <f>SUBTOTAL(101,TBL_PHV[PHV])</f>
        <v>12.871995979593438</v>
      </c>
      <c r="X1" s="1">
        <f>SUBTOTAL(101,TBL_PHV[YAPHV])</f>
        <v>-1.5903601771243001</v>
      </c>
      <c r="Y1" s="2" t="s">
        <v>2</v>
      </c>
      <c r="AA1" s="17" t="s">
        <v>0</v>
      </c>
      <c r="AB1" s="17"/>
      <c r="AC1" s="17"/>
      <c r="AD1" s="17"/>
      <c r="AE1" s="17"/>
      <c r="AF1" s="17"/>
      <c r="AG1" s="17"/>
      <c r="AH1" s="17"/>
    </row>
    <row r="2" spans="1:34" s="3" customFormat="1" ht="22.8" customHeight="1" x14ac:dyDescent="0.25">
      <c r="W2" s="2" t="s">
        <v>4</v>
      </c>
      <c r="X2" s="2" t="s">
        <v>5</v>
      </c>
      <c r="Y2" s="2"/>
      <c r="AA2" s="17" t="s">
        <v>3</v>
      </c>
      <c r="AB2" s="17"/>
      <c r="AC2" s="17"/>
      <c r="AD2" s="17"/>
      <c r="AE2" s="17"/>
      <c r="AF2" s="17"/>
      <c r="AG2" s="17"/>
      <c r="AH2" s="17"/>
    </row>
    <row r="3" spans="1:34" s="3" customFormat="1" ht="22.8" customHeight="1" x14ac:dyDescent="0.25">
      <c r="R3" s="4" t="s">
        <v>6</v>
      </c>
      <c r="S3" s="5">
        <v>45</v>
      </c>
      <c r="T3" s="3" t="s">
        <v>7</v>
      </c>
      <c r="W3" s="2"/>
      <c r="X3" s="2"/>
      <c r="Y3" s="2"/>
    </row>
    <row r="4" spans="1:34" s="3" customFormat="1" ht="16.2" customHeight="1" x14ac:dyDescent="0.25">
      <c r="A4" s="6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7" t="s">
        <v>31</v>
      </c>
      <c r="Y4" s="6" t="s">
        <v>32</v>
      </c>
    </row>
    <row r="5" spans="1:34" x14ac:dyDescent="0.25">
      <c r="A5">
        <v>4</v>
      </c>
      <c r="B5" s="8" t="s">
        <v>43</v>
      </c>
      <c r="C5" s="8" t="s">
        <v>44</v>
      </c>
      <c r="D5" s="8" t="str">
        <f>_xlfn.TEXTJOIN(" ",TRUE,TBL_PHV[[#This Row],[Vorname]],TBL_PHV[[#This Row],[Nachname]])</f>
        <v>Rafael Noah Krug</v>
      </c>
      <c r="E5" s="9">
        <v>41304</v>
      </c>
      <c r="F5" s="9">
        <v>44569</v>
      </c>
      <c r="G5" s="9" t="s">
        <v>35</v>
      </c>
      <c r="H5" s="9" t="s">
        <v>36</v>
      </c>
      <c r="I5" s="16" t="s">
        <v>45</v>
      </c>
      <c r="J5" s="16"/>
      <c r="K5" s="10" t="s">
        <v>38</v>
      </c>
      <c r="L5" s="11">
        <v>1</v>
      </c>
      <c r="M5" s="12">
        <v>150</v>
      </c>
      <c r="N5" s="11">
        <v>120</v>
      </c>
      <c r="O5" s="11">
        <v>42.6</v>
      </c>
      <c r="P5" s="11">
        <v>145.5</v>
      </c>
      <c r="Q5" s="11">
        <v>168</v>
      </c>
      <c r="R5" s="11">
        <v>203</v>
      </c>
      <c r="S5" s="13">
        <f>IF(TBL_PHV[[#This Row],[Sitzgröße gemessen]]="","",TBL_PHV[[#This Row],[Sitzgröße gemessen]]-$S$3)</f>
        <v>75</v>
      </c>
      <c r="T5" s="14">
        <f>IF(TBL_PHV[[#This Row],[Testdatum]]="","",YEARFRAC(TBL_PHV[[#This Row],[Geburtsdatum]],TBL_PHV[[#This Row],[Testdatum]]))</f>
        <v>8.9388888888888882</v>
      </c>
      <c r="U5" s="13">
        <f>IF(TBL_PHV[[#This Row],[Sitzgröße berechnet]]="","",TBL_PHV[[#This Row],[Größe]]-TBL_PHV[[#This Row],[Sitzgröße berechnet]])</f>
        <v>75</v>
      </c>
      <c r="V5" s="14">
        <f>IF(TBL_PHV[[#This Row],[Gewicht]]="","",TBL_PHV[[#This Row],[Gewicht]]/(TBL_PHV[[#This Row],[Größe]]/100)^2)</f>
        <v>18.933333333333334</v>
      </c>
      <c r="W5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12.277887138888888</v>
      </c>
      <c r="X5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-3.3389982499999999</v>
      </c>
      <c r="Y5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6" spans="1:34" x14ac:dyDescent="0.25">
      <c r="A6">
        <v>5</v>
      </c>
      <c r="B6" s="8" t="s">
        <v>46</v>
      </c>
      <c r="C6" s="8" t="s">
        <v>47</v>
      </c>
      <c r="D6" s="8" t="str">
        <f>_xlfn.TEXTJOIN(" ",TRUE,TBL_PHV[[#This Row],[Vorname]],TBL_PHV[[#This Row],[Nachname]])</f>
        <v>Devin Akyol</v>
      </c>
      <c r="E6" s="9">
        <v>41790</v>
      </c>
      <c r="F6" s="9">
        <v>44569</v>
      </c>
      <c r="G6" s="9" t="s">
        <v>35</v>
      </c>
      <c r="H6" s="9" t="s">
        <v>36</v>
      </c>
      <c r="I6" s="16" t="s">
        <v>45</v>
      </c>
      <c r="J6" s="16"/>
      <c r="K6" s="10" t="s">
        <v>38</v>
      </c>
      <c r="L6" s="11">
        <v>0.5</v>
      </c>
      <c r="M6" s="12">
        <v>130.5</v>
      </c>
      <c r="N6" s="11">
        <v>109</v>
      </c>
      <c r="O6" s="11">
        <v>24</v>
      </c>
      <c r="P6" s="11">
        <v>131</v>
      </c>
      <c r="Q6" s="11">
        <v>167</v>
      </c>
      <c r="R6" s="11">
        <v>182</v>
      </c>
      <c r="S6" s="13">
        <f>IF(TBL_PHV[[#This Row],[Sitzgröße gemessen]]="","",TBL_PHV[[#This Row],[Sitzgröße gemessen]]-$S$3)</f>
        <v>64</v>
      </c>
      <c r="T6" s="14">
        <f>IF(TBL_PHV[[#This Row],[Testdatum]]="","",YEARFRAC(TBL_PHV[[#This Row],[Geburtsdatum]],TBL_PHV[[#This Row],[Testdatum]]))</f>
        <v>7.6055555555555552</v>
      </c>
      <c r="U6" s="13">
        <f>IF(TBL_PHV[[#This Row],[Sitzgröße berechnet]]="","",TBL_PHV[[#This Row],[Größe]]-TBL_PHV[[#This Row],[Sitzgröße berechnet]])</f>
        <v>66.5</v>
      </c>
      <c r="V6" s="14">
        <f>IF(TBL_PHV[[#This Row],[Gewicht]]="","",TBL_PHV[[#This Row],[Gewicht]]/(TBL_PHV[[#This Row],[Größe]]/100)^2)</f>
        <v>14.092570572951074</v>
      </c>
      <c r="W6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12.596180011398468</v>
      </c>
      <c r="X6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-4.9906244558429131</v>
      </c>
      <c r="Y6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7" spans="1:34" x14ac:dyDescent="0.25">
      <c r="A7">
        <v>6</v>
      </c>
      <c r="B7" s="8" t="s">
        <v>48</v>
      </c>
      <c r="C7" s="8" t="s">
        <v>49</v>
      </c>
      <c r="D7" s="8" t="str">
        <f>_xlfn.TEXTJOIN(" ",TRUE,TBL_PHV[[#This Row],[Vorname]],TBL_PHV[[#This Row],[Nachname]])</f>
        <v>Mats Rosenbohm</v>
      </c>
      <c r="E7" s="9">
        <v>41008</v>
      </c>
      <c r="F7" s="9">
        <v>44569</v>
      </c>
      <c r="G7" s="9" t="s">
        <v>35</v>
      </c>
      <c r="H7" s="9" t="s">
        <v>36</v>
      </c>
      <c r="I7" s="16" t="s">
        <v>45</v>
      </c>
      <c r="J7" s="16"/>
      <c r="K7" s="10" t="s">
        <v>38</v>
      </c>
      <c r="L7" s="11">
        <v>3</v>
      </c>
      <c r="M7" s="12">
        <v>138</v>
      </c>
      <c r="N7" s="11">
        <v>113</v>
      </c>
      <c r="O7" s="11">
        <v>30.7</v>
      </c>
      <c r="P7" s="11">
        <v>136</v>
      </c>
      <c r="Q7" s="11">
        <v>163</v>
      </c>
      <c r="R7" s="11">
        <v>183</v>
      </c>
      <c r="S7" s="13">
        <f>IF(TBL_PHV[[#This Row],[Sitzgröße gemessen]]="","",TBL_PHV[[#This Row],[Sitzgröße gemessen]]-$S$3)</f>
        <v>68</v>
      </c>
      <c r="T7" s="14">
        <f>IF(TBL_PHV[[#This Row],[Testdatum]]="","",YEARFRAC(TBL_PHV[[#This Row],[Geburtsdatum]],TBL_PHV[[#This Row],[Testdatum]]))</f>
        <v>9.7472222222222218</v>
      </c>
      <c r="U7" s="13">
        <f>IF(TBL_PHV[[#This Row],[Sitzgröße berechnet]]="","",TBL_PHV[[#This Row],[Größe]]-TBL_PHV[[#This Row],[Sitzgröße berechnet]])</f>
        <v>70</v>
      </c>
      <c r="V7" s="14">
        <f>IF(TBL_PHV[[#This Row],[Gewicht]]="","",TBL_PHV[[#This Row],[Gewicht]]/(TBL_PHV[[#This Row],[Größe]]/100)^2)</f>
        <v>16.120562906952323</v>
      </c>
      <c r="W7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13.536156426811594</v>
      </c>
      <c r="X7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-3.7889342045893732</v>
      </c>
      <c r="Y7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8" spans="1:34" x14ac:dyDescent="0.25">
      <c r="A8">
        <v>1</v>
      </c>
      <c r="B8" s="8" t="s">
        <v>33</v>
      </c>
      <c r="C8" s="8" t="s">
        <v>34</v>
      </c>
      <c r="D8" s="8" t="str">
        <f>_xlfn.TEXTJOIN(" ",TRUE,TBL_PHV[[#This Row],[Vorname]],TBL_PHV[[#This Row],[Nachname]])</f>
        <v>Batu Jang</v>
      </c>
      <c r="E8" s="9">
        <v>41196</v>
      </c>
      <c r="F8" s="9">
        <v>44569</v>
      </c>
      <c r="G8" s="9" t="s">
        <v>35</v>
      </c>
      <c r="H8" s="9" t="s">
        <v>36</v>
      </c>
      <c r="I8" s="9" t="s">
        <v>37</v>
      </c>
      <c r="J8" s="9"/>
      <c r="K8" s="10" t="s">
        <v>38</v>
      </c>
      <c r="L8" s="11">
        <v>4</v>
      </c>
      <c r="M8" s="12">
        <v>141.5</v>
      </c>
      <c r="N8" s="11">
        <v>116</v>
      </c>
      <c r="O8" s="11">
        <v>33.4</v>
      </c>
      <c r="P8" s="11">
        <v>138.5</v>
      </c>
      <c r="Q8" s="11">
        <v>162</v>
      </c>
      <c r="R8" s="11">
        <v>181</v>
      </c>
      <c r="S8" s="13">
        <f>IF(TBL_PHV[[#This Row],[Sitzgröße gemessen]]="","",TBL_PHV[[#This Row],[Sitzgröße gemessen]]-$S$3)</f>
        <v>71</v>
      </c>
      <c r="T8" s="14">
        <f>IF(TBL_PHV[[#This Row],[Testdatum]]="","",YEARFRAC(TBL_PHV[[#This Row],[Geburtsdatum]],TBL_PHV[[#This Row],[Testdatum]]))</f>
        <v>9.2333333333333325</v>
      </c>
      <c r="U8" s="13">
        <f>IF(TBL_PHV[[#This Row],[Sitzgröße berechnet]]="","",TBL_PHV[[#This Row],[Größe]]-TBL_PHV[[#This Row],[Sitzgröße berechnet]])</f>
        <v>70.5</v>
      </c>
      <c r="V8" s="14">
        <f>IF(TBL_PHV[[#This Row],[Gewicht]]="","",TBL_PHV[[#This Row],[Gewicht]]/(TBL_PHV[[#This Row],[Größe]]/100)^2)</f>
        <v>16.681441895890821</v>
      </c>
      <c r="W8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12.924795529387517</v>
      </c>
      <c r="X8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-3.6914621960541831</v>
      </c>
      <c r="Y8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9" spans="1:34" x14ac:dyDescent="0.25">
      <c r="A9">
        <v>2</v>
      </c>
      <c r="B9" s="8" t="s">
        <v>39</v>
      </c>
      <c r="C9" s="8" t="s">
        <v>40</v>
      </c>
      <c r="D9" s="8" t="str">
        <f>_xlfn.TEXTJOIN(" ",TRUE,TBL_PHV[[#This Row],[Vorname]],TBL_PHV[[#This Row],[Nachname]])</f>
        <v>Oskar Ossendoth</v>
      </c>
      <c r="E9" s="9">
        <v>40915</v>
      </c>
      <c r="F9" s="9">
        <v>44569</v>
      </c>
      <c r="G9" s="9" t="s">
        <v>35</v>
      </c>
      <c r="H9" s="9" t="s">
        <v>36</v>
      </c>
      <c r="I9" s="16" t="s">
        <v>37</v>
      </c>
      <c r="J9" s="16"/>
      <c r="K9" s="10" t="s">
        <v>38</v>
      </c>
      <c r="L9" s="11">
        <v>1.5</v>
      </c>
      <c r="M9" s="12">
        <v>152</v>
      </c>
      <c r="N9" s="11">
        <v>119</v>
      </c>
      <c r="O9" s="11">
        <v>37.200000000000003</v>
      </c>
      <c r="P9" s="11">
        <v>148</v>
      </c>
      <c r="Q9" s="11">
        <v>176</v>
      </c>
      <c r="R9" s="11">
        <v>178</v>
      </c>
      <c r="S9" s="13">
        <f>IF(TBL_PHV[[#This Row],[Sitzgröße gemessen]]="","",TBL_PHV[[#This Row],[Sitzgröße gemessen]]-$S$3)</f>
        <v>74</v>
      </c>
      <c r="T9" s="14">
        <f>IF(TBL_PHV[[#This Row],[Testdatum]]="","",YEARFRAC(TBL_PHV[[#This Row],[Geburtsdatum]],TBL_PHV[[#This Row],[Testdatum]]))</f>
        <v>10.002777777777778</v>
      </c>
      <c r="U9" s="13">
        <f>IF(TBL_PHV[[#This Row],[Sitzgröße berechnet]]="","",TBL_PHV[[#This Row],[Größe]]-TBL_PHV[[#This Row],[Sitzgröße berechnet]])</f>
        <v>78</v>
      </c>
      <c r="V9" s="14">
        <f>IF(TBL_PHV[[#This Row],[Gewicht]]="","",TBL_PHV[[#This Row],[Gewicht]]/(TBL_PHV[[#This Row],[Größe]]/100)^2)</f>
        <v>16.101108033240997</v>
      </c>
      <c r="W9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13.070960363450293</v>
      </c>
      <c r="X9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-3.0681825856725147</v>
      </c>
      <c r="Y9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10" spans="1:34" x14ac:dyDescent="0.25">
      <c r="A10">
        <v>3</v>
      </c>
      <c r="B10" s="8" t="s">
        <v>41</v>
      </c>
      <c r="C10" s="8" t="s">
        <v>42</v>
      </c>
      <c r="D10" s="8" t="str">
        <f>_xlfn.TEXTJOIN(" ",TRUE,TBL_PHV[[#This Row],[Vorname]],TBL_PHV[[#This Row],[Nachname]])</f>
        <v>Finn Schröder</v>
      </c>
      <c r="E10" s="9">
        <v>40982</v>
      </c>
      <c r="F10" s="9">
        <v>44569</v>
      </c>
      <c r="G10" s="9" t="s">
        <v>35</v>
      </c>
      <c r="H10" s="9" t="s">
        <v>36</v>
      </c>
      <c r="I10" s="16" t="s">
        <v>37</v>
      </c>
      <c r="J10" s="16"/>
      <c r="K10" s="10" t="s">
        <v>38</v>
      </c>
      <c r="L10" s="11">
        <v>3</v>
      </c>
      <c r="M10" s="12">
        <v>151</v>
      </c>
      <c r="N10" s="11">
        <v>123</v>
      </c>
      <c r="O10" s="11">
        <v>33.9</v>
      </c>
      <c r="P10" s="11">
        <v>148</v>
      </c>
      <c r="Q10" s="11">
        <v>174</v>
      </c>
      <c r="R10" s="11">
        <v>195</v>
      </c>
      <c r="S10" s="13">
        <f>IF(TBL_PHV[[#This Row],[Sitzgröße gemessen]]="","",TBL_PHV[[#This Row],[Sitzgröße gemessen]]-$S$3)</f>
        <v>78</v>
      </c>
      <c r="T10" s="14">
        <f>IF(TBL_PHV[[#This Row],[Testdatum]]="","",YEARFRAC(TBL_PHV[[#This Row],[Geburtsdatum]],TBL_PHV[[#This Row],[Testdatum]]))</f>
        <v>9.8166666666666664</v>
      </c>
      <c r="U10" s="13">
        <f>IF(TBL_PHV[[#This Row],[Sitzgröße berechnet]]="","",TBL_PHV[[#This Row],[Größe]]-TBL_PHV[[#This Row],[Sitzgröße berechnet]])</f>
        <v>73</v>
      </c>
      <c r="V10" s="14">
        <f>IF(TBL_PHV[[#This Row],[Gewicht]]="","",TBL_PHV[[#This Row],[Gewicht]]/(TBL_PHV[[#This Row],[Größe]]/100)^2)</f>
        <v>14.867768957501863</v>
      </c>
      <c r="W10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12.662612193929361</v>
      </c>
      <c r="X10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-2.8459455272626943</v>
      </c>
      <c r="Y10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11" spans="1:34" x14ac:dyDescent="0.25">
      <c r="A11">
        <v>9</v>
      </c>
      <c r="B11" s="8" t="s">
        <v>52</v>
      </c>
      <c r="C11" s="8" t="s">
        <v>56</v>
      </c>
      <c r="D11" s="8" t="str">
        <f>_xlfn.TEXTJOIN(" ",TRUE,TBL_PHV[[#This Row],[Vorname]],TBL_PHV[[#This Row],[Nachname]])</f>
        <v>Emma Friedrich</v>
      </c>
      <c r="E11" s="9">
        <v>41477</v>
      </c>
      <c r="F11" s="9">
        <v>44569</v>
      </c>
      <c r="G11" s="9" t="s">
        <v>35</v>
      </c>
      <c r="H11" s="9" t="s">
        <v>36</v>
      </c>
      <c r="I11" s="16" t="s">
        <v>37</v>
      </c>
      <c r="J11" s="16"/>
      <c r="K11" s="10" t="s">
        <v>55</v>
      </c>
      <c r="L11" s="11">
        <v>1.5</v>
      </c>
      <c r="M11" s="12">
        <v>140.5</v>
      </c>
      <c r="N11" s="11">
        <v>114</v>
      </c>
      <c r="O11" s="11">
        <v>31</v>
      </c>
      <c r="P11" s="11">
        <v>139</v>
      </c>
      <c r="Q11" s="11">
        <v>187</v>
      </c>
      <c r="R11" s="11">
        <v>198</v>
      </c>
      <c r="S11" s="13">
        <f>IF(TBL_PHV[[#This Row],[Sitzgröße gemessen]]="","",TBL_PHV[[#This Row],[Sitzgröße gemessen]]-$S$3)</f>
        <v>69</v>
      </c>
      <c r="T11" s="14">
        <f>IF(TBL_PHV[[#This Row],[Testdatum]]="","",YEARFRAC(TBL_PHV[[#This Row],[Geburtsdatum]],TBL_PHV[[#This Row],[Testdatum]]))</f>
        <v>8.4611111111111104</v>
      </c>
      <c r="U11" s="13">
        <f>IF(TBL_PHV[[#This Row],[Sitzgröße berechnet]]="","",TBL_PHV[[#This Row],[Größe]]-TBL_PHV[[#This Row],[Sitzgröße berechnet]])</f>
        <v>71.5</v>
      </c>
      <c r="V11" s="14">
        <f>IF(TBL_PHV[[#This Row],[Gewicht]]="","",TBL_PHV[[#This Row],[Gewicht]]/(TBL_PHV[[#This Row],[Größe]]/100)^2)</f>
        <v>15.703955117083115</v>
      </c>
      <c r="W11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11.167411216310793</v>
      </c>
      <c r="X11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-2.7063001051996829</v>
      </c>
      <c r="Y11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12" spans="1:34" x14ac:dyDescent="0.25">
      <c r="A12">
        <v>10</v>
      </c>
      <c r="B12" s="8" t="s">
        <v>57</v>
      </c>
      <c r="C12" s="8" t="s">
        <v>58</v>
      </c>
      <c r="D12" s="8" t="str">
        <f>_xlfn.TEXTJOIN(" ",TRUE,TBL_PHV[[#This Row],[Vorname]],TBL_PHV[[#This Row],[Nachname]])</f>
        <v>Elea Sophie Ritter</v>
      </c>
      <c r="E12" s="9">
        <v>41549</v>
      </c>
      <c r="F12" s="9">
        <v>44569</v>
      </c>
      <c r="G12" s="9" t="s">
        <v>35</v>
      </c>
      <c r="H12" s="9" t="s">
        <v>36</v>
      </c>
      <c r="I12" s="16" t="s">
        <v>37</v>
      </c>
      <c r="J12" s="16"/>
      <c r="K12" s="10" t="s">
        <v>55</v>
      </c>
      <c r="L12" s="11">
        <v>1</v>
      </c>
      <c r="M12" s="12">
        <v>134</v>
      </c>
      <c r="N12" s="11">
        <v>111.5</v>
      </c>
      <c r="O12" s="11">
        <v>27.4</v>
      </c>
      <c r="P12" s="11">
        <v>132</v>
      </c>
      <c r="Q12" s="11">
        <v>170</v>
      </c>
      <c r="R12" s="11">
        <v>186</v>
      </c>
      <c r="S12" s="13">
        <f>IF(TBL_PHV[[#This Row],[Sitzgröße gemessen]]="","",TBL_PHV[[#This Row],[Sitzgröße gemessen]]-$S$3)</f>
        <v>66.5</v>
      </c>
      <c r="T12" s="14">
        <f>IF(TBL_PHV[[#This Row],[Testdatum]]="","",YEARFRAC(TBL_PHV[[#This Row],[Geburtsdatum]],TBL_PHV[[#This Row],[Testdatum]]))</f>
        <v>8.2666666666666675</v>
      </c>
      <c r="U12" s="13">
        <f>IF(TBL_PHV[[#This Row],[Sitzgröße berechnet]]="","",TBL_PHV[[#This Row],[Größe]]-TBL_PHV[[#This Row],[Sitzgröße berechnet]])</f>
        <v>67.5</v>
      </c>
      <c r="V12" s="14">
        <f>IF(TBL_PHV[[#This Row],[Gewicht]]="","",TBL_PHV[[#This Row],[Gewicht]]/(TBL_PHV[[#This Row],[Größe]]/100)^2)</f>
        <v>15.259523279126752</v>
      </c>
      <c r="W12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11.388299968009949</v>
      </c>
      <c r="X12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-3.121633301343282</v>
      </c>
      <c r="Y12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13" spans="1:34" x14ac:dyDescent="0.25">
      <c r="A13">
        <v>11</v>
      </c>
      <c r="B13" s="8" t="s">
        <v>59</v>
      </c>
      <c r="C13" s="8" t="s">
        <v>60</v>
      </c>
      <c r="D13" s="8" t="str">
        <f>_xlfn.TEXTJOIN(" ",TRUE,TBL_PHV[[#This Row],[Vorname]],TBL_PHV[[#This Row],[Nachname]])</f>
        <v>Elita Agu</v>
      </c>
      <c r="E13" s="9">
        <v>41585</v>
      </c>
      <c r="F13" s="9">
        <v>44569</v>
      </c>
      <c r="G13" s="9" t="s">
        <v>35</v>
      </c>
      <c r="H13" s="9" t="s">
        <v>36</v>
      </c>
      <c r="I13" s="16" t="s">
        <v>37</v>
      </c>
      <c r="J13" s="16"/>
      <c r="K13" s="10" t="s">
        <v>55</v>
      </c>
      <c r="L13" s="11">
        <v>1</v>
      </c>
      <c r="M13" s="12">
        <v>135.5</v>
      </c>
      <c r="N13" s="11">
        <v>115</v>
      </c>
      <c r="O13" s="11">
        <v>32.299999999999997</v>
      </c>
      <c r="P13" s="11">
        <v>126.5</v>
      </c>
      <c r="Q13" s="11">
        <v>183</v>
      </c>
      <c r="R13" s="11">
        <v>167</v>
      </c>
      <c r="S13" s="13">
        <f>IF(TBL_PHV[[#This Row],[Sitzgröße gemessen]]="","",TBL_PHV[[#This Row],[Sitzgröße gemessen]]-$S$3)</f>
        <v>70</v>
      </c>
      <c r="T13" s="14">
        <f>IF(TBL_PHV[[#This Row],[Testdatum]]="","",YEARFRAC(TBL_PHV[[#This Row],[Geburtsdatum]],TBL_PHV[[#This Row],[Testdatum]]))</f>
        <v>8.1694444444444443</v>
      </c>
      <c r="U13" s="13">
        <f>IF(TBL_PHV[[#This Row],[Sitzgröße berechnet]]="","",TBL_PHV[[#This Row],[Größe]]-TBL_PHV[[#This Row],[Sitzgröße berechnet]])</f>
        <v>65.5</v>
      </c>
      <c r="V13" s="14">
        <f>IF(TBL_PHV[[#This Row],[Gewicht]]="","",TBL_PHV[[#This Row],[Gewicht]]/(TBL_PHV[[#This Row],[Größe]]/100)^2)</f>
        <v>17.592353045301667</v>
      </c>
      <c r="W13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11.032634811371464</v>
      </c>
      <c r="X13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-2.8631903669270193</v>
      </c>
      <c r="Y13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14" spans="1:34" x14ac:dyDescent="0.25">
      <c r="A14">
        <v>12</v>
      </c>
      <c r="B14" s="8" t="s">
        <v>61</v>
      </c>
      <c r="C14" s="8" t="s">
        <v>62</v>
      </c>
      <c r="D14" s="8" t="str">
        <f>_xlfn.TEXTJOIN(" ",TRUE,TBL_PHV[[#This Row],[Vorname]],TBL_PHV[[#This Row],[Nachname]])</f>
        <v>Nele Hartung</v>
      </c>
      <c r="E14" s="9">
        <v>40994</v>
      </c>
      <c r="F14" s="9">
        <v>44569</v>
      </c>
      <c r="G14" s="9" t="s">
        <v>35</v>
      </c>
      <c r="H14" s="9" t="s">
        <v>36</v>
      </c>
      <c r="I14" s="16" t="s">
        <v>37</v>
      </c>
      <c r="J14" s="16"/>
      <c r="K14" s="10" t="s">
        <v>55</v>
      </c>
      <c r="L14" s="11">
        <v>2.5</v>
      </c>
      <c r="M14" s="12">
        <v>150.5</v>
      </c>
      <c r="N14" s="11">
        <v>117</v>
      </c>
      <c r="O14" s="11">
        <v>37.6</v>
      </c>
      <c r="P14" s="11">
        <v>145</v>
      </c>
      <c r="Q14" s="11">
        <v>181</v>
      </c>
      <c r="R14" s="11">
        <v>186</v>
      </c>
      <c r="S14" s="13">
        <f>IF(TBL_PHV[[#This Row],[Sitzgröße gemessen]]="","",TBL_PHV[[#This Row],[Sitzgröße gemessen]]-$S$3)</f>
        <v>72</v>
      </c>
      <c r="T14" s="14">
        <f>IF(TBL_PHV[[#This Row],[Testdatum]]="","",YEARFRAC(TBL_PHV[[#This Row],[Geburtsdatum]],TBL_PHV[[#This Row],[Testdatum]]))</f>
        <v>9.7833333333333332</v>
      </c>
      <c r="U14" s="13">
        <f>IF(TBL_PHV[[#This Row],[Sitzgröße berechnet]]="","",TBL_PHV[[#This Row],[Größe]]-TBL_PHV[[#This Row],[Sitzgröße berechnet]])</f>
        <v>78.5</v>
      </c>
      <c r="V14" s="14">
        <f>IF(TBL_PHV[[#This Row],[Gewicht]]="","",TBL_PHV[[#This Row],[Gewicht]]/(TBL_PHV[[#This Row],[Größe]]/100)^2)</f>
        <v>16.600258275294976</v>
      </c>
      <c r="W14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11.34742693364341</v>
      </c>
      <c r="X14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-1.5640936003100772</v>
      </c>
      <c r="Y14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 bis -1.5</v>
      </c>
    </row>
    <row r="15" spans="1:34" x14ac:dyDescent="0.25">
      <c r="A15">
        <v>13</v>
      </c>
      <c r="B15" s="8" t="s">
        <v>63</v>
      </c>
      <c r="C15" s="8" t="s">
        <v>64</v>
      </c>
      <c r="D15" s="8" t="str">
        <f>_xlfn.TEXTJOIN(" ",TRUE,TBL_PHV[[#This Row],[Vorname]],TBL_PHV[[#This Row],[Nachname]])</f>
        <v>Blessing Adesokan</v>
      </c>
      <c r="E15" s="9">
        <v>41439</v>
      </c>
      <c r="F15" s="9">
        <v>44569</v>
      </c>
      <c r="G15" s="9" t="s">
        <v>35</v>
      </c>
      <c r="H15" s="9" t="s">
        <v>36</v>
      </c>
      <c r="I15" s="16" t="s">
        <v>37</v>
      </c>
      <c r="J15" s="16"/>
      <c r="K15" s="10" t="s">
        <v>55</v>
      </c>
      <c r="L15" s="11">
        <v>2</v>
      </c>
      <c r="M15" s="12">
        <v>147.5</v>
      </c>
      <c r="N15" s="11">
        <v>116</v>
      </c>
      <c r="O15" s="11">
        <v>39.9</v>
      </c>
      <c r="P15" s="11">
        <v>144</v>
      </c>
      <c r="Q15" s="11">
        <v>175</v>
      </c>
      <c r="R15" s="11">
        <v>180</v>
      </c>
      <c r="S15" s="13">
        <f>IF(TBL_PHV[[#This Row],[Sitzgröße gemessen]]="","",TBL_PHV[[#This Row],[Sitzgröße gemessen]]-$S$3)</f>
        <v>71</v>
      </c>
      <c r="T15" s="14">
        <f>IF(TBL_PHV[[#This Row],[Testdatum]]="","",YEARFRAC(TBL_PHV[[#This Row],[Geburtsdatum]],TBL_PHV[[#This Row],[Testdatum]]))</f>
        <v>8.5666666666666664</v>
      </c>
      <c r="U15" s="13">
        <f>IF(TBL_PHV[[#This Row],[Sitzgröße berechnet]]="","",TBL_PHV[[#This Row],[Größe]]-TBL_PHV[[#This Row],[Sitzgröße berechnet]])</f>
        <v>76.5</v>
      </c>
      <c r="V15" s="14">
        <f>IF(TBL_PHV[[#This Row],[Gewicht]]="","",TBL_PHV[[#This Row],[Gewicht]]/(TBL_PHV[[#This Row],[Größe]]/100)^2)</f>
        <v>18.339557598391266</v>
      </c>
      <c r="W15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10.753506751751411</v>
      </c>
      <c r="X15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-2.1868400850847443</v>
      </c>
      <c r="Y15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 bis -1.5</v>
      </c>
    </row>
    <row r="16" spans="1:34" x14ac:dyDescent="0.25">
      <c r="A16">
        <v>14</v>
      </c>
      <c r="B16" s="8" t="s">
        <v>65</v>
      </c>
      <c r="C16" s="8" t="s">
        <v>66</v>
      </c>
      <c r="D16" s="8" t="str">
        <f>_xlfn.TEXTJOIN(" ",TRUE,TBL_PHV[[#This Row],[Vorname]],TBL_PHV[[#This Row],[Nachname]])</f>
        <v>Lynn Lampka</v>
      </c>
      <c r="E16" s="9">
        <v>40948</v>
      </c>
      <c r="F16" s="9">
        <v>44569</v>
      </c>
      <c r="G16" s="9" t="s">
        <v>35</v>
      </c>
      <c r="H16" s="9" t="s">
        <v>36</v>
      </c>
      <c r="I16" s="16" t="s">
        <v>37</v>
      </c>
      <c r="J16" s="16"/>
      <c r="K16" s="10" t="s">
        <v>55</v>
      </c>
      <c r="L16" s="11">
        <v>0.5</v>
      </c>
      <c r="M16" s="12">
        <v>149.5</v>
      </c>
      <c r="N16" s="11">
        <v>117</v>
      </c>
      <c r="O16" s="11">
        <v>46</v>
      </c>
      <c r="P16" s="11">
        <v>145.5</v>
      </c>
      <c r="Q16" s="11">
        <v>179</v>
      </c>
      <c r="R16" s="11">
        <v>183</v>
      </c>
      <c r="S16" s="13">
        <f>IF(TBL_PHV[[#This Row],[Sitzgröße gemessen]]="","",TBL_PHV[[#This Row],[Sitzgröße gemessen]]-$S$3)</f>
        <v>72</v>
      </c>
      <c r="T16" s="14">
        <f>IF(TBL_PHV[[#This Row],[Testdatum]]="","",YEARFRAC(TBL_PHV[[#This Row],[Geburtsdatum]],TBL_PHV[[#This Row],[Testdatum]]))</f>
        <v>9.9138888888888896</v>
      </c>
      <c r="U16" s="13">
        <f>IF(TBL_PHV[[#This Row],[Sitzgröße berechnet]]="","",TBL_PHV[[#This Row],[Größe]]-TBL_PHV[[#This Row],[Sitzgröße berechnet]])</f>
        <v>77.5</v>
      </c>
      <c r="V16" s="14">
        <f>IF(TBL_PHV[[#This Row],[Gewicht]]="","",TBL_PHV[[#This Row],[Gewicht]]/(TBL_PHV[[#This Row],[Größe]]/100)^2)</f>
        <v>20.581425263699508</v>
      </c>
      <c r="W16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11.225183476923076</v>
      </c>
      <c r="X16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-1.3112945880341873</v>
      </c>
      <c r="Y16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17" spans="1:25" x14ac:dyDescent="0.25">
      <c r="A17">
        <v>15</v>
      </c>
      <c r="B17" s="8" t="s">
        <v>67</v>
      </c>
      <c r="C17" s="8" t="s">
        <v>68</v>
      </c>
      <c r="D17" s="8" t="str">
        <f>_xlfn.TEXTJOIN(" ",TRUE,TBL_PHV[[#This Row],[Vorname]],TBL_PHV[[#This Row],[Nachname]])</f>
        <v>July Sattler</v>
      </c>
      <c r="E17" s="9">
        <v>41144</v>
      </c>
      <c r="F17" s="9">
        <v>44569</v>
      </c>
      <c r="G17" s="9" t="s">
        <v>35</v>
      </c>
      <c r="H17" s="9" t="s">
        <v>36</v>
      </c>
      <c r="I17" s="16" t="s">
        <v>37</v>
      </c>
      <c r="J17" s="16"/>
      <c r="K17" s="10" t="s">
        <v>55</v>
      </c>
      <c r="L17" s="11">
        <v>1</v>
      </c>
      <c r="M17" s="12">
        <v>137</v>
      </c>
      <c r="N17" s="11">
        <v>113</v>
      </c>
      <c r="O17" s="11">
        <v>39.5</v>
      </c>
      <c r="P17" s="11">
        <v>139.5</v>
      </c>
      <c r="Q17" s="11">
        <v>166</v>
      </c>
      <c r="R17" s="11">
        <v>185</v>
      </c>
      <c r="S17" s="13">
        <f>IF(TBL_PHV[[#This Row],[Sitzgröße gemessen]]="","",TBL_PHV[[#This Row],[Sitzgröße gemessen]]-$S$3)</f>
        <v>68</v>
      </c>
      <c r="T17" s="14">
        <f>IF(TBL_PHV[[#This Row],[Testdatum]]="","",YEARFRAC(TBL_PHV[[#This Row],[Geburtsdatum]],TBL_PHV[[#This Row],[Testdatum]]))</f>
        <v>9.375</v>
      </c>
      <c r="U17" s="13">
        <f>IF(TBL_PHV[[#This Row],[Sitzgröße berechnet]]="","",TBL_PHV[[#This Row],[Größe]]-TBL_PHV[[#This Row],[Sitzgröße berechnet]])</f>
        <v>69</v>
      </c>
      <c r="V17" s="14">
        <f>IF(TBL_PHV[[#This Row],[Gewicht]]="","",TBL_PHV[[#This Row],[Gewicht]]/(TBL_PHV[[#This Row],[Größe]]/100)^2)</f>
        <v>21.045340721402308</v>
      </c>
      <c r="W17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11.487438980474453</v>
      </c>
      <c r="X17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-2.1124389804744528</v>
      </c>
      <c r="Y17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 bis -1.5</v>
      </c>
    </row>
    <row r="18" spans="1:25" x14ac:dyDescent="0.25">
      <c r="A18">
        <v>16</v>
      </c>
      <c r="B18" s="8" t="s">
        <v>69</v>
      </c>
      <c r="C18" s="8" t="s">
        <v>70</v>
      </c>
      <c r="D18" s="8" t="str">
        <f>_xlfn.TEXTJOIN(" ",TRUE,TBL_PHV[[#This Row],[Vorname]],TBL_PHV[[#This Row],[Nachname]])</f>
        <v>Johanna Tertel</v>
      </c>
      <c r="E18" s="9">
        <v>40994</v>
      </c>
      <c r="F18" s="9">
        <v>44569</v>
      </c>
      <c r="G18" s="9" t="s">
        <v>35</v>
      </c>
      <c r="H18" s="9" t="s">
        <v>36</v>
      </c>
      <c r="I18" s="16" t="s">
        <v>37</v>
      </c>
      <c r="J18" s="16"/>
      <c r="K18" s="10" t="s">
        <v>55</v>
      </c>
      <c r="L18" s="11">
        <v>2</v>
      </c>
      <c r="M18" s="12">
        <v>136.5</v>
      </c>
      <c r="N18" s="11">
        <v>113.5</v>
      </c>
      <c r="O18" s="11">
        <v>29.2</v>
      </c>
      <c r="P18" s="11">
        <v>127</v>
      </c>
      <c r="Q18" s="11">
        <v>165</v>
      </c>
      <c r="R18" s="11">
        <v>184</v>
      </c>
      <c r="S18" s="13">
        <f>IF(TBL_PHV[[#This Row],[Sitzgröße gemessen]]="","",TBL_PHV[[#This Row],[Sitzgröße gemessen]]-$S$3)</f>
        <v>68.5</v>
      </c>
      <c r="T18" s="14">
        <f>IF(TBL_PHV[[#This Row],[Testdatum]]="","",YEARFRAC(TBL_PHV[[#This Row],[Geburtsdatum]],TBL_PHV[[#This Row],[Testdatum]]))</f>
        <v>9.7833333333333332</v>
      </c>
      <c r="U18" s="13">
        <f>IF(TBL_PHV[[#This Row],[Sitzgröße berechnet]]="","",TBL_PHV[[#This Row],[Größe]]-TBL_PHV[[#This Row],[Sitzgröße berechnet]])</f>
        <v>68</v>
      </c>
      <c r="V18" s="14">
        <f>IF(TBL_PHV[[#This Row],[Gewicht]]="","",TBL_PHV[[#This Row],[Gewicht]]/(TBL_PHV[[#This Row],[Größe]]/100)^2)</f>
        <v>15.671751935488199</v>
      </c>
      <c r="W18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12.018353910384615</v>
      </c>
      <c r="X18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-2.235020577051281</v>
      </c>
      <c r="Y18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 bis -1.5</v>
      </c>
    </row>
    <row r="19" spans="1:25" x14ac:dyDescent="0.25">
      <c r="A19">
        <v>17</v>
      </c>
      <c r="B19" s="8" t="s">
        <v>71</v>
      </c>
      <c r="C19" s="8" t="s">
        <v>72</v>
      </c>
      <c r="D19" s="8" t="str">
        <f>_xlfn.TEXTJOIN(" ",TRUE,TBL_PHV[[#This Row],[Vorname]],TBL_PHV[[#This Row],[Nachname]])</f>
        <v>Ida Ruppert</v>
      </c>
      <c r="E19" s="9">
        <v>40921</v>
      </c>
      <c r="F19" s="9">
        <v>44569</v>
      </c>
      <c r="G19" s="9" t="s">
        <v>35</v>
      </c>
      <c r="H19" s="9" t="s">
        <v>36</v>
      </c>
      <c r="I19" s="16" t="s">
        <v>37</v>
      </c>
      <c r="J19" s="16"/>
      <c r="K19" s="10" t="s">
        <v>55</v>
      </c>
      <c r="L19" s="11">
        <v>0.5</v>
      </c>
      <c r="M19" s="12">
        <v>149</v>
      </c>
      <c r="N19" s="11">
        <v>116.5</v>
      </c>
      <c r="O19" s="11">
        <v>49.4</v>
      </c>
      <c r="P19" s="11">
        <v>144</v>
      </c>
      <c r="Q19" s="11">
        <v>162</v>
      </c>
      <c r="R19" s="11">
        <v>183</v>
      </c>
      <c r="S19" s="13">
        <f>IF(TBL_PHV[[#This Row],[Sitzgröße gemessen]]="","",TBL_PHV[[#This Row],[Sitzgröße gemessen]]-$S$3)</f>
        <v>71.5</v>
      </c>
      <c r="T19" s="14">
        <f>IF(TBL_PHV[[#This Row],[Testdatum]]="","",YEARFRAC(TBL_PHV[[#This Row],[Geburtsdatum]],TBL_PHV[[#This Row],[Testdatum]]))</f>
        <v>9.9861111111111107</v>
      </c>
      <c r="U19" s="13">
        <f>IF(TBL_PHV[[#This Row],[Sitzgröße berechnet]]="","",TBL_PHV[[#This Row],[Größe]]-TBL_PHV[[#This Row],[Sitzgröße berechnet]])</f>
        <v>77.5</v>
      </c>
      <c r="V19" s="14">
        <f>IF(TBL_PHV[[#This Row],[Gewicht]]="","",TBL_PHV[[#This Row],[Gewicht]]/(TBL_PHV[[#This Row],[Größe]]/100)^2)</f>
        <v>22.25124994369623</v>
      </c>
      <c r="W19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11.206764570162193</v>
      </c>
      <c r="X19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-1.2206534590510816</v>
      </c>
      <c r="Y19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20" spans="1:25" x14ac:dyDescent="0.25">
      <c r="A20">
        <v>30</v>
      </c>
      <c r="B20" s="8" t="s">
        <v>96</v>
      </c>
      <c r="C20" s="8" t="s">
        <v>70</v>
      </c>
      <c r="D20" s="8" t="str">
        <f>_xlfn.TEXTJOIN(" ",TRUE,TBL_PHV[[#This Row],[Vorname]],TBL_PHV[[#This Row],[Nachname]])</f>
        <v>Johanna Wackerbeck</v>
      </c>
      <c r="E20" s="9">
        <v>41367</v>
      </c>
      <c r="F20" s="9">
        <v>44569</v>
      </c>
      <c r="G20" s="9" t="s">
        <v>35</v>
      </c>
      <c r="H20" s="9" t="s">
        <v>36</v>
      </c>
      <c r="I20" s="16" t="s">
        <v>37</v>
      </c>
      <c r="J20" s="16"/>
      <c r="K20" s="10" t="s">
        <v>55</v>
      </c>
      <c r="L20" s="11">
        <v>0.5</v>
      </c>
      <c r="M20" s="12">
        <v>134.5</v>
      </c>
      <c r="N20" s="11">
        <v>110.5</v>
      </c>
      <c r="O20" s="11">
        <v>27.8</v>
      </c>
      <c r="P20" s="11">
        <v>132.5</v>
      </c>
      <c r="Q20" s="11">
        <v>181</v>
      </c>
      <c r="R20" s="11">
        <v>191</v>
      </c>
      <c r="S20" s="13">
        <f>IF(TBL_PHV[[#This Row],[Sitzgröße gemessen]]="","",TBL_PHV[[#This Row],[Sitzgröße gemessen]]-$S$3)</f>
        <v>65.5</v>
      </c>
      <c r="T20" s="14">
        <f>IF(TBL_PHV[[#This Row],[Testdatum]]="","",YEARFRAC(TBL_PHV[[#This Row],[Geburtsdatum]],TBL_PHV[[#This Row],[Testdatum]]))</f>
        <v>8.7638888888888893</v>
      </c>
      <c r="U20" s="13">
        <f>IF(TBL_PHV[[#This Row],[Sitzgröße berechnet]]="","",TBL_PHV[[#This Row],[Größe]]-TBL_PHV[[#This Row],[Sitzgröße berechnet]])</f>
        <v>69</v>
      </c>
      <c r="V20" s="14">
        <f>IF(TBL_PHV[[#This Row],[Gewicht]]="","",TBL_PHV[[#This Row],[Gewicht]]/(TBL_PHV[[#This Row],[Größe]]/100)^2)</f>
        <v>15.367394038225012</v>
      </c>
      <c r="W20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11.663531302968813</v>
      </c>
      <c r="X20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-2.8996424140799246</v>
      </c>
      <c r="Y20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21" spans="1:25" x14ac:dyDescent="0.25">
      <c r="A21">
        <v>36</v>
      </c>
      <c r="B21" s="8" t="s">
        <v>108</v>
      </c>
      <c r="C21" s="8" t="s">
        <v>109</v>
      </c>
      <c r="D21" s="8" t="str">
        <f>_xlfn.TEXTJOIN(" ",TRUE,TBL_PHV[[#This Row],[Vorname]],TBL_PHV[[#This Row],[Nachname]])</f>
        <v>Marie Hennen</v>
      </c>
      <c r="E21" s="9">
        <v>41941</v>
      </c>
      <c r="F21" s="9">
        <v>44569</v>
      </c>
      <c r="G21" s="9" t="s">
        <v>35</v>
      </c>
      <c r="H21" s="9" t="s">
        <v>36</v>
      </c>
      <c r="I21" s="16" t="s">
        <v>37</v>
      </c>
      <c r="J21" s="16"/>
      <c r="K21" s="10" t="s">
        <v>55</v>
      </c>
      <c r="L21" s="11">
        <v>0.5</v>
      </c>
      <c r="M21" s="12">
        <v>135.5</v>
      </c>
      <c r="N21" s="11">
        <v>112</v>
      </c>
      <c r="O21" s="11">
        <v>24.8</v>
      </c>
      <c r="P21" s="11">
        <v>136</v>
      </c>
      <c r="Q21" s="11">
        <v>170</v>
      </c>
      <c r="R21" s="11">
        <v>190</v>
      </c>
      <c r="S21" s="13">
        <f>IF(TBL_PHV[[#This Row],[Sitzgröße gemessen]]="","",TBL_PHV[[#This Row],[Sitzgröße gemessen]]-$S$3)</f>
        <v>67</v>
      </c>
      <c r="T21" s="14">
        <f>IF(TBL_PHV[[#This Row],[Testdatum]]="","",YEARFRAC(TBL_PHV[[#This Row],[Geburtsdatum]],TBL_PHV[[#This Row],[Testdatum]]))</f>
        <v>7.1916666666666664</v>
      </c>
      <c r="U21" s="13">
        <f>IF(TBL_PHV[[#This Row],[Sitzgröße berechnet]]="","",TBL_PHV[[#This Row],[Größe]]-TBL_PHV[[#This Row],[Sitzgröße berechnet]])</f>
        <v>68.5</v>
      </c>
      <c r="V21" s="14">
        <f>IF(TBL_PHV[[#This Row],[Gewicht]]="","",TBL_PHV[[#This Row],[Gewicht]]/(TBL_PHV[[#This Row],[Größe]]/100)^2)</f>
        <v>13.507441347476206</v>
      </c>
      <c r="W21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10.871746872822879</v>
      </c>
      <c r="X21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-3.6800802061562123</v>
      </c>
      <c r="Y21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22" spans="1:25" x14ac:dyDescent="0.25">
      <c r="A22">
        <v>18</v>
      </c>
      <c r="B22" s="8" t="s">
        <v>73</v>
      </c>
      <c r="C22" s="8" t="s">
        <v>74</v>
      </c>
      <c r="D22" s="8" t="str">
        <f>_xlfn.TEXTJOIN(" ",TRUE,TBL_PHV[[#This Row],[Vorname]],TBL_PHV[[#This Row],[Nachname]])</f>
        <v>Robin Yapali</v>
      </c>
      <c r="E22" s="9">
        <v>41011</v>
      </c>
      <c r="F22" s="9">
        <v>44569</v>
      </c>
      <c r="G22" s="9" t="s">
        <v>35</v>
      </c>
      <c r="H22" s="9" t="s">
        <v>36</v>
      </c>
      <c r="I22" s="16" t="s">
        <v>75</v>
      </c>
      <c r="J22" s="16"/>
      <c r="K22" s="10" t="s">
        <v>38</v>
      </c>
      <c r="L22" s="11">
        <v>0.5</v>
      </c>
      <c r="M22" s="12">
        <v>151.5</v>
      </c>
      <c r="N22" s="11">
        <v>117</v>
      </c>
      <c r="O22" s="11">
        <v>51.7</v>
      </c>
      <c r="P22" s="11">
        <v>149</v>
      </c>
      <c r="Q22" s="11">
        <v>155</v>
      </c>
      <c r="R22" s="11">
        <v>180</v>
      </c>
      <c r="S22" s="13">
        <f>IF(TBL_PHV[[#This Row],[Sitzgröße gemessen]]="","",TBL_PHV[[#This Row],[Sitzgröße gemessen]]-$S$3)</f>
        <v>72</v>
      </c>
      <c r="T22" s="14">
        <f>IF(TBL_PHV[[#This Row],[Testdatum]]="","",YEARFRAC(TBL_PHV[[#This Row],[Geburtsdatum]],TBL_PHV[[#This Row],[Testdatum]]))</f>
        <v>9.7388888888888889</v>
      </c>
      <c r="U22" s="13">
        <f>IF(TBL_PHV[[#This Row],[Sitzgröße berechnet]]="","",TBL_PHV[[#This Row],[Größe]]-TBL_PHV[[#This Row],[Sitzgröße berechnet]])</f>
        <v>79.5</v>
      </c>
      <c r="V22" s="14">
        <f>IF(TBL_PHV[[#This Row],[Gewicht]]="","",TBL_PHV[[#This Row],[Gewicht]]/(TBL_PHV[[#This Row],[Größe]]/100)^2)</f>
        <v>22.525024779705696</v>
      </c>
      <c r="W22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12.870379925110011</v>
      </c>
      <c r="X22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-3.1314910362211226</v>
      </c>
      <c r="Y22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23" spans="1:25" x14ac:dyDescent="0.25">
      <c r="A23">
        <v>19</v>
      </c>
      <c r="B23" s="8" t="s">
        <v>76</v>
      </c>
      <c r="C23" s="8" t="s">
        <v>49</v>
      </c>
      <c r="D23" s="8" t="str">
        <f>_xlfn.TEXTJOIN(" ",TRUE,TBL_PHV[[#This Row],[Vorname]],TBL_PHV[[#This Row],[Nachname]])</f>
        <v>Mats Wietholt</v>
      </c>
      <c r="E23" s="9">
        <v>41364</v>
      </c>
      <c r="F23" s="9">
        <v>44569</v>
      </c>
      <c r="G23" s="9" t="s">
        <v>35</v>
      </c>
      <c r="H23" s="9" t="s">
        <v>36</v>
      </c>
      <c r="I23" s="16" t="s">
        <v>75</v>
      </c>
      <c r="J23" s="16"/>
      <c r="K23" s="10" t="s">
        <v>38</v>
      </c>
      <c r="L23" s="11">
        <v>0.5</v>
      </c>
      <c r="M23" s="12">
        <v>144</v>
      </c>
      <c r="N23" s="11">
        <v>119</v>
      </c>
      <c r="O23" s="11">
        <v>35.299999999999997</v>
      </c>
      <c r="P23" s="11">
        <v>138.5</v>
      </c>
      <c r="Q23" s="11">
        <v>173</v>
      </c>
      <c r="R23" s="11">
        <v>193</v>
      </c>
      <c r="S23" s="13">
        <f>IF(TBL_PHV[[#This Row],[Sitzgröße gemessen]]="","",TBL_PHV[[#This Row],[Sitzgröße gemessen]]-$S$3)</f>
        <v>74</v>
      </c>
      <c r="T23" s="14">
        <f>IF(TBL_PHV[[#This Row],[Testdatum]]="","",YEARFRAC(TBL_PHV[[#This Row],[Geburtsdatum]],TBL_PHV[[#This Row],[Testdatum]]))</f>
        <v>8.7722222222222221</v>
      </c>
      <c r="U23" s="13">
        <f>IF(TBL_PHV[[#This Row],[Sitzgröße berechnet]]="","",TBL_PHV[[#This Row],[Größe]]-TBL_PHV[[#This Row],[Sitzgröße berechnet]])</f>
        <v>70</v>
      </c>
      <c r="V23" s="14">
        <f>IF(TBL_PHV[[#This Row],[Gewicht]]="","",TBL_PHV[[#This Row],[Gewicht]]/(TBL_PHV[[#This Row],[Größe]]/100)^2)</f>
        <v>17.023533950617285</v>
      </c>
      <c r="W23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12.380567966666668</v>
      </c>
      <c r="X23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-3.6083457444444447</v>
      </c>
      <c r="Y23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24" spans="1:25" x14ac:dyDescent="0.25">
      <c r="A24">
        <v>20</v>
      </c>
      <c r="B24" s="8" t="s">
        <v>77</v>
      </c>
      <c r="C24" s="8" t="s">
        <v>78</v>
      </c>
      <c r="D24" s="8" t="str">
        <f>_xlfn.TEXTJOIN(" ",TRUE,TBL_PHV[[#This Row],[Vorname]],TBL_PHV[[#This Row],[Nachname]])</f>
        <v>Jannis Koentjoro</v>
      </c>
      <c r="E24" s="9">
        <v>41694</v>
      </c>
      <c r="F24" s="9">
        <v>44569</v>
      </c>
      <c r="G24" s="9" t="s">
        <v>35</v>
      </c>
      <c r="H24" s="9" t="s">
        <v>36</v>
      </c>
      <c r="I24" s="16" t="s">
        <v>75</v>
      </c>
      <c r="J24" s="16"/>
      <c r="K24" s="10" t="s">
        <v>38</v>
      </c>
      <c r="L24" s="11">
        <v>1</v>
      </c>
      <c r="M24" s="12">
        <v>138</v>
      </c>
      <c r="N24" s="11">
        <v>116</v>
      </c>
      <c r="O24" s="11">
        <v>29.6</v>
      </c>
      <c r="P24" s="11">
        <v>132.5</v>
      </c>
      <c r="Q24" s="11">
        <v>173</v>
      </c>
      <c r="R24" s="11">
        <v>184</v>
      </c>
      <c r="S24" s="13">
        <f>IF(TBL_PHV[[#This Row],[Sitzgröße gemessen]]="","",TBL_PHV[[#This Row],[Sitzgröße gemessen]]-$S$3)</f>
        <v>71</v>
      </c>
      <c r="T24" s="14">
        <f>IF(TBL_PHV[[#This Row],[Testdatum]]="","",YEARFRAC(TBL_PHV[[#This Row],[Geburtsdatum]],TBL_PHV[[#This Row],[Testdatum]]))</f>
        <v>7.8722222222222218</v>
      </c>
      <c r="U24" s="13">
        <f>IF(TBL_PHV[[#This Row],[Sitzgröße berechnet]]="","",TBL_PHV[[#This Row],[Größe]]-TBL_PHV[[#This Row],[Sitzgröße berechnet]])</f>
        <v>67</v>
      </c>
      <c r="V24" s="14">
        <f>IF(TBL_PHV[[#This Row],[Gewicht]]="","",TBL_PHV[[#This Row],[Gewicht]]/(TBL_PHV[[#This Row],[Größe]]/100)^2)</f>
        <v>15.542953161100613</v>
      </c>
      <c r="W24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12.172317258695653</v>
      </c>
      <c r="X24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-4.3000950364734312</v>
      </c>
      <c r="Y24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25" spans="1:25" x14ac:dyDescent="0.25">
      <c r="A25">
        <v>21</v>
      </c>
      <c r="B25" s="8" t="s">
        <v>79</v>
      </c>
      <c r="C25" s="8" t="s">
        <v>80</v>
      </c>
      <c r="D25" s="8" t="str">
        <f>_xlfn.TEXTJOIN(" ",TRUE,TBL_PHV[[#This Row],[Vorname]],TBL_PHV[[#This Row],[Nachname]])</f>
        <v xml:space="preserve">Benjamin Stolze </v>
      </c>
      <c r="E25" s="9">
        <v>41004</v>
      </c>
      <c r="F25" s="9">
        <v>44569</v>
      </c>
      <c r="G25" s="9" t="s">
        <v>35</v>
      </c>
      <c r="H25" s="9" t="s">
        <v>36</v>
      </c>
      <c r="I25" s="16" t="s">
        <v>75</v>
      </c>
      <c r="J25" s="16"/>
      <c r="K25" s="10" t="s">
        <v>38</v>
      </c>
      <c r="L25" s="11">
        <v>0.5</v>
      </c>
      <c r="M25" s="12">
        <v>138</v>
      </c>
      <c r="N25" s="11">
        <v>114</v>
      </c>
      <c r="O25" s="11">
        <v>35.799999999999997</v>
      </c>
      <c r="P25" s="11">
        <v>138</v>
      </c>
      <c r="Q25" s="11">
        <v>160</v>
      </c>
      <c r="R25" s="11">
        <v>180</v>
      </c>
      <c r="S25" s="13">
        <f>IF(TBL_PHV[[#This Row],[Sitzgröße gemessen]]="","",TBL_PHV[[#This Row],[Sitzgröße gemessen]]-$S$3)</f>
        <v>69</v>
      </c>
      <c r="T25" s="14">
        <f>IF(TBL_PHV[[#This Row],[Testdatum]]="","",YEARFRAC(TBL_PHV[[#This Row],[Geburtsdatum]],TBL_PHV[[#This Row],[Testdatum]]))</f>
        <v>9.7583333333333329</v>
      </c>
      <c r="U25" s="13">
        <f>IF(TBL_PHV[[#This Row],[Sitzgröße berechnet]]="","",TBL_PHV[[#This Row],[Größe]]-TBL_PHV[[#This Row],[Sitzgröße berechnet]])</f>
        <v>69</v>
      </c>
      <c r="V25" s="14">
        <f>IF(TBL_PHV[[#This Row],[Gewicht]]="","",TBL_PHV[[#This Row],[Gewicht]]/(TBL_PHV[[#This Row],[Größe]]/100)^2)</f>
        <v>18.798571728628442</v>
      </c>
      <c r="W25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13.371489503985508</v>
      </c>
      <c r="X25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-3.6131561706521746</v>
      </c>
      <c r="Y25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26" spans="1:25" x14ac:dyDescent="0.25">
      <c r="A26">
        <v>22</v>
      </c>
      <c r="B26" s="8" t="s">
        <v>81</v>
      </c>
      <c r="C26" s="8" t="s">
        <v>82</v>
      </c>
      <c r="D26" s="8" t="str">
        <f>_xlfn.TEXTJOIN(" ",TRUE,TBL_PHV[[#This Row],[Vorname]],TBL_PHV[[#This Row],[Nachname]])</f>
        <v>Levi Kempe</v>
      </c>
      <c r="E26" s="9">
        <v>41662</v>
      </c>
      <c r="F26" s="9">
        <v>44569</v>
      </c>
      <c r="G26" s="9" t="s">
        <v>35</v>
      </c>
      <c r="H26" s="9" t="s">
        <v>36</v>
      </c>
      <c r="I26" s="16" t="s">
        <v>75</v>
      </c>
      <c r="J26" s="16"/>
      <c r="K26" s="10" t="s">
        <v>38</v>
      </c>
      <c r="L26" s="11">
        <v>0.5</v>
      </c>
      <c r="M26" s="12">
        <v>137.5</v>
      </c>
      <c r="N26" s="11">
        <v>114</v>
      </c>
      <c r="O26" s="11">
        <v>29.9</v>
      </c>
      <c r="P26" s="11">
        <v>132</v>
      </c>
      <c r="Q26" s="11">
        <v>162</v>
      </c>
      <c r="R26" s="11">
        <v>175</v>
      </c>
      <c r="S26" s="13">
        <f>IF(TBL_PHV[[#This Row],[Sitzgröße gemessen]]="","",TBL_PHV[[#This Row],[Sitzgröße gemessen]]-$S$3)</f>
        <v>69</v>
      </c>
      <c r="T26" s="14">
        <f>IF(TBL_PHV[[#This Row],[Testdatum]]="","",YEARFRAC(TBL_PHV[[#This Row],[Geburtsdatum]],TBL_PHV[[#This Row],[Testdatum]]))</f>
        <v>7.958333333333333</v>
      </c>
      <c r="U26" s="13">
        <f>IF(TBL_PHV[[#This Row],[Sitzgröße berechnet]]="","",TBL_PHV[[#This Row],[Größe]]-TBL_PHV[[#This Row],[Sitzgröße berechnet]])</f>
        <v>68.5</v>
      </c>
      <c r="V26" s="14">
        <f>IF(TBL_PHV[[#This Row],[Gewicht]]="","",TBL_PHV[[#This Row],[Gewicht]]/(TBL_PHV[[#This Row],[Größe]]/100)^2)</f>
        <v>15.81487603305785</v>
      </c>
      <c r="W26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12.360082835984848</v>
      </c>
      <c r="X26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-4.4017495026515148</v>
      </c>
      <c r="Y26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27" spans="1:25" x14ac:dyDescent="0.25">
      <c r="A27">
        <v>23</v>
      </c>
      <c r="B27" s="8" t="s">
        <v>83</v>
      </c>
      <c r="C27" s="8" t="s">
        <v>84</v>
      </c>
      <c r="D27" s="8" t="str">
        <f>_xlfn.TEXTJOIN(" ",TRUE,TBL_PHV[[#This Row],[Vorname]],TBL_PHV[[#This Row],[Nachname]])</f>
        <v>Levent Sahnaci</v>
      </c>
      <c r="E27" s="9">
        <v>41428</v>
      </c>
      <c r="F27" s="9">
        <v>44569</v>
      </c>
      <c r="G27" s="9" t="s">
        <v>35</v>
      </c>
      <c r="H27" s="9" t="s">
        <v>36</v>
      </c>
      <c r="I27" s="16" t="s">
        <v>75</v>
      </c>
      <c r="J27" s="16"/>
      <c r="K27" s="10" t="s">
        <v>38</v>
      </c>
      <c r="L27" s="11">
        <v>1.5</v>
      </c>
      <c r="M27" s="12">
        <v>143.5</v>
      </c>
      <c r="N27" s="11">
        <v>116</v>
      </c>
      <c r="O27" s="11">
        <v>39.5</v>
      </c>
      <c r="P27" s="11">
        <v>143.5</v>
      </c>
      <c r="Q27" s="11">
        <v>178</v>
      </c>
      <c r="R27" s="11">
        <v>185</v>
      </c>
      <c r="S27" s="13">
        <f>IF(TBL_PHV[[#This Row],[Sitzgröße gemessen]]="","",TBL_PHV[[#This Row],[Sitzgröße gemessen]]-$S$3)</f>
        <v>71</v>
      </c>
      <c r="T27" s="14">
        <f>IF(TBL_PHV[[#This Row],[Testdatum]]="","",YEARFRAC(TBL_PHV[[#This Row],[Geburtsdatum]],TBL_PHV[[#This Row],[Testdatum]]))</f>
        <v>8.5972222222222214</v>
      </c>
      <c r="U27" s="13">
        <f>IF(TBL_PHV[[#This Row],[Sitzgröße berechnet]]="","",TBL_PHV[[#This Row],[Größe]]-TBL_PHV[[#This Row],[Sitzgröße berechnet]])</f>
        <v>72.5</v>
      </c>
      <c r="V27" s="14">
        <f>IF(TBL_PHV[[#This Row],[Gewicht]]="","",TBL_PHV[[#This Row],[Gewicht]]/(TBL_PHV[[#This Row],[Größe]]/100)^2)</f>
        <v>19.181973800823126</v>
      </c>
      <c r="W27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12.440259413351722</v>
      </c>
      <c r="X27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-3.8430371911295005</v>
      </c>
      <c r="Y27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28" spans="1:25" x14ac:dyDescent="0.25">
      <c r="A28">
        <v>24</v>
      </c>
      <c r="B28" s="8" t="s">
        <v>85</v>
      </c>
      <c r="C28" s="8" t="s">
        <v>86</v>
      </c>
      <c r="D28" s="8" t="str">
        <f>_xlfn.TEXTJOIN(" ",TRUE,TBL_PHV[[#This Row],[Vorname]],TBL_PHV[[#This Row],[Nachname]])</f>
        <v>Philipp Knoche</v>
      </c>
      <c r="E28" s="9">
        <v>41149</v>
      </c>
      <c r="F28" s="9">
        <v>44569</v>
      </c>
      <c r="G28" s="9" t="s">
        <v>35</v>
      </c>
      <c r="H28" s="9" t="s">
        <v>36</v>
      </c>
      <c r="I28" s="16" t="s">
        <v>75</v>
      </c>
      <c r="J28" s="16"/>
      <c r="K28" s="10" t="s">
        <v>38</v>
      </c>
      <c r="L28" s="11">
        <v>0.5</v>
      </c>
      <c r="M28" s="12">
        <v>149</v>
      </c>
      <c r="N28" s="11">
        <v>120</v>
      </c>
      <c r="O28" s="11">
        <v>50.2</v>
      </c>
      <c r="P28" s="11">
        <v>143</v>
      </c>
      <c r="Q28" s="11">
        <v>171</v>
      </c>
      <c r="R28" s="11">
        <v>184</v>
      </c>
      <c r="S28" s="13">
        <f>IF(TBL_PHV[[#This Row],[Sitzgröße gemessen]]="","",TBL_PHV[[#This Row],[Sitzgröße gemessen]]-$S$3)</f>
        <v>75</v>
      </c>
      <c r="T28" s="14">
        <f>IF(TBL_PHV[[#This Row],[Testdatum]]="","",YEARFRAC(TBL_PHV[[#This Row],[Geburtsdatum]],TBL_PHV[[#This Row],[Testdatum]]))</f>
        <v>9.3611111111111107</v>
      </c>
      <c r="U28" s="13">
        <f>IF(TBL_PHV[[#This Row],[Sitzgröße berechnet]]="","",TBL_PHV[[#This Row],[Größe]]-TBL_PHV[[#This Row],[Sitzgröße berechnet]])</f>
        <v>74</v>
      </c>
      <c r="V28" s="14">
        <f>IF(TBL_PHV[[#This Row],[Gewicht]]="","",TBL_PHV[[#This Row],[Gewicht]]/(TBL_PHV[[#This Row],[Größe]]/100)^2)</f>
        <v>22.611594072339084</v>
      </c>
      <c r="W28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12.407730806487697</v>
      </c>
      <c r="X28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-3.0466196953765858</v>
      </c>
      <c r="Y28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29" spans="1:25" x14ac:dyDescent="0.25">
      <c r="A29">
        <v>25</v>
      </c>
      <c r="B29" s="8" t="s">
        <v>87</v>
      </c>
      <c r="C29" s="8" t="s">
        <v>88</v>
      </c>
      <c r="D29" s="8" t="str">
        <f>_xlfn.TEXTJOIN(" ",TRUE,TBL_PHV[[#This Row],[Vorname]],TBL_PHV[[#This Row],[Nachname]])</f>
        <v>Leo Kutschka</v>
      </c>
      <c r="E29" s="9">
        <v>41850</v>
      </c>
      <c r="F29" s="9">
        <v>44569</v>
      </c>
      <c r="G29" s="9" t="s">
        <v>35</v>
      </c>
      <c r="H29" s="9" t="s">
        <v>36</v>
      </c>
      <c r="I29" s="16" t="s">
        <v>75</v>
      </c>
      <c r="J29" s="16"/>
      <c r="K29" s="10" t="s">
        <v>38</v>
      </c>
      <c r="L29" s="11">
        <v>0.5</v>
      </c>
      <c r="M29" s="12">
        <v>133</v>
      </c>
      <c r="N29" s="11">
        <v>108.5</v>
      </c>
      <c r="O29" s="11">
        <v>27.1</v>
      </c>
      <c r="P29" s="11">
        <v>132.5</v>
      </c>
      <c r="Q29" s="11">
        <v>163</v>
      </c>
      <c r="R29" s="11">
        <v>190</v>
      </c>
      <c r="S29" s="13">
        <f>IF(TBL_PHV[[#This Row],[Sitzgröße gemessen]]="","",TBL_PHV[[#This Row],[Sitzgröße gemessen]]-$S$3)</f>
        <v>63.5</v>
      </c>
      <c r="T29" s="14">
        <f>IF(TBL_PHV[[#This Row],[Testdatum]]="","",YEARFRAC(TBL_PHV[[#This Row],[Geburtsdatum]],TBL_PHV[[#This Row],[Testdatum]]))</f>
        <v>7.4388888888888891</v>
      </c>
      <c r="U29" s="13">
        <f>IF(TBL_PHV[[#This Row],[Sitzgröße berechnet]]="","",TBL_PHV[[#This Row],[Größe]]-TBL_PHV[[#This Row],[Sitzgröße berechnet]])</f>
        <v>69.5</v>
      </c>
      <c r="V29" s="14">
        <f>IF(TBL_PHV[[#This Row],[Gewicht]]="","",TBL_PHV[[#This Row],[Gewicht]]/(TBL_PHV[[#This Row],[Größe]]/100)^2)</f>
        <v>15.320255526033128</v>
      </c>
      <c r="W29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12.463921955868839</v>
      </c>
      <c r="X29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-5.0250330669799501</v>
      </c>
      <c r="Y29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30" spans="1:25" x14ac:dyDescent="0.25">
      <c r="A30">
        <v>26</v>
      </c>
      <c r="B30" s="8" t="s">
        <v>89</v>
      </c>
      <c r="C30" s="8" t="s">
        <v>49</v>
      </c>
      <c r="D30" s="8" t="str">
        <f>_xlfn.TEXTJOIN(" ",TRUE,TBL_PHV[[#This Row],[Vorname]],TBL_PHV[[#This Row],[Nachname]])</f>
        <v>Mats Hickert</v>
      </c>
      <c r="E30" s="9">
        <v>41480</v>
      </c>
      <c r="F30" s="9">
        <v>44569</v>
      </c>
      <c r="G30" s="9" t="s">
        <v>35</v>
      </c>
      <c r="H30" s="9" t="s">
        <v>36</v>
      </c>
      <c r="I30" s="16" t="s">
        <v>75</v>
      </c>
      <c r="J30" s="16"/>
      <c r="K30" s="10" t="s">
        <v>38</v>
      </c>
      <c r="L30" s="11">
        <v>2</v>
      </c>
      <c r="M30" s="12">
        <v>145.5</v>
      </c>
      <c r="N30" s="11">
        <v>118.5</v>
      </c>
      <c r="O30" s="11">
        <v>44.8</v>
      </c>
      <c r="P30" s="11">
        <v>140.5</v>
      </c>
      <c r="Q30" s="11">
        <v>176</v>
      </c>
      <c r="R30" s="11">
        <v>183</v>
      </c>
      <c r="S30" s="13">
        <f>IF(TBL_PHV[[#This Row],[Sitzgröße gemessen]]="","",TBL_PHV[[#This Row],[Sitzgröße gemessen]]-$S$3)</f>
        <v>73.5</v>
      </c>
      <c r="T30" s="14">
        <f>IF(TBL_PHV[[#This Row],[Testdatum]]="","",YEARFRAC(TBL_PHV[[#This Row],[Geburtsdatum]],TBL_PHV[[#This Row],[Testdatum]]))</f>
        <v>8.4527777777777775</v>
      </c>
      <c r="U30" s="13">
        <f>IF(TBL_PHV[[#This Row],[Sitzgröße berechnet]]="","",TBL_PHV[[#This Row],[Größe]]-TBL_PHV[[#This Row],[Sitzgröße berechnet]])</f>
        <v>72</v>
      </c>
      <c r="V30" s="14">
        <f>IF(TBL_PHV[[#This Row],[Gewicht]]="","",TBL_PHV[[#This Row],[Gewicht]]/(TBL_PHV[[#This Row],[Größe]]/100)^2)</f>
        <v>21.161771826029447</v>
      </c>
      <c r="W30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12.078940047193585</v>
      </c>
      <c r="X30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-3.6261622694158082</v>
      </c>
      <c r="Y30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31" spans="1:25" x14ac:dyDescent="0.25">
      <c r="A31">
        <v>27</v>
      </c>
      <c r="B31" s="8" t="s">
        <v>90</v>
      </c>
      <c r="C31" s="8" t="s">
        <v>91</v>
      </c>
      <c r="D31" s="8" t="str">
        <f>_xlfn.TEXTJOIN(" ",TRUE,TBL_PHV[[#This Row],[Vorname]],TBL_PHV[[#This Row],[Nachname]])</f>
        <v>Fritz Fliegenschmidt</v>
      </c>
      <c r="E31" s="9">
        <v>41804</v>
      </c>
      <c r="F31" s="9">
        <v>44569</v>
      </c>
      <c r="G31" s="9" t="s">
        <v>35</v>
      </c>
      <c r="H31" s="9" t="s">
        <v>36</v>
      </c>
      <c r="I31" s="16" t="s">
        <v>75</v>
      </c>
      <c r="J31" s="16"/>
      <c r="K31" s="10" t="s">
        <v>38</v>
      </c>
      <c r="L31" s="11">
        <v>2</v>
      </c>
      <c r="M31" s="12">
        <v>126.6</v>
      </c>
      <c r="N31" s="11">
        <v>107.5</v>
      </c>
      <c r="O31" s="11">
        <v>23.4</v>
      </c>
      <c r="P31" s="11">
        <v>125.5</v>
      </c>
      <c r="Q31" s="11">
        <v>170</v>
      </c>
      <c r="R31" s="11">
        <v>192</v>
      </c>
      <c r="S31" s="13">
        <f>IF(TBL_PHV[[#This Row],[Sitzgröße gemessen]]="","",TBL_PHV[[#This Row],[Sitzgröße gemessen]]-$S$3)</f>
        <v>62.5</v>
      </c>
      <c r="T31" s="14">
        <f>IF(TBL_PHV[[#This Row],[Testdatum]]="","",YEARFRAC(TBL_PHV[[#This Row],[Geburtsdatum]],TBL_PHV[[#This Row],[Testdatum]]))</f>
        <v>7.5666666666666664</v>
      </c>
      <c r="U31" s="13">
        <f>IF(TBL_PHV[[#This Row],[Sitzgröße berechnet]]="","",TBL_PHV[[#This Row],[Größe]]-TBL_PHV[[#This Row],[Sitzgröße berechnet]])</f>
        <v>64.099999999999994</v>
      </c>
      <c r="V31" s="14">
        <f>IF(TBL_PHV[[#This Row],[Gewicht]]="","",TBL_PHV[[#This Row],[Gewicht]]/(TBL_PHV[[#This Row],[Größe]]/100)^2)</f>
        <v>14.599851755351406</v>
      </c>
      <c r="W31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12.688161492906794</v>
      </c>
      <c r="X31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-5.1214948262401263</v>
      </c>
      <c r="Y31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32" spans="1:25" x14ac:dyDescent="0.25">
      <c r="A32">
        <v>28</v>
      </c>
      <c r="B32" s="8" t="s">
        <v>92</v>
      </c>
      <c r="C32" s="8" t="s">
        <v>93</v>
      </c>
      <c r="D32" s="8" t="str">
        <f>_xlfn.TEXTJOIN(" ",TRUE,TBL_PHV[[#This Row],[Vorname]],TBL_PHV[[#This Row],[Nachname]])</f>
        <v>Nathaniel Glodan</v>
      </c>
      <c r="E32" s="9">
        <v>41109</v>
      </c>
      <c r="F32" s="9">
        <v>44569</v>
      </c>
      <c r="G32" s="9" t="s">
        <v>35</v>
      </c>
      <c r="H32" s="9" t="s">
        <v>36</v>
      </c>
      <c r="I32" s="16" t="s">
        <v>75</v>
      </c>
      <c r="J32" s="16"/>
      <c r="K32" s="10" t="s">
        <v>38</v>
      </c>
      <c r="L32" s="11">
        <v>2</v>
      </c>
      <c r="M32" s="12">
        <v>127.5</v>
      </c>
      <c r="N32" s="11">
        <v>109.5</v>
      </c>
      <c r="O32" s="11">
        <v>22.5</v>
      </c>
      <c r="P32" s="11">
        <v>125.5</v>
      </c>
      <c r="Q32" s="11">
        <v>170</v>
      </c>
      <c r="R32" s="11">
        <v>180</v>
      </c>
      <c r="S32" s="13">
        <f>IF(TBL_PHV[[#This Row],[Sitzgröße gemessen]]="","",TBL_PHV[[#This Row],[Sitzgröße gemessen]]-$S$3)</f>
        <v>64.5</v>
      </c>
      <c r="T32" s="14">
        <f>IF(TBL_PHV[[#This Row],[Testdatum]]="","",YEARFRAC(TBL_PHV[[#This Row],[Geburtsdatum]],TBL_PHV[[#This Row],[Testdatum]]))</f>
        <v>9.469444444444445</v>
      </c>
      <c r="U32" s="13">
        <f>IF(TBL_PHV[[#This Row],[Sitzgröße berechnet]]="","",TBL_PHV[[#This Row],[Größe]]-TBL_PHV[[#This Row],[Sitzgröße berechnet]])</f>
        <v>63</v>
      </c>
      <c r="V32" s="14">
        <f>IF(TBL_PHV[[#This Row],[Gewicht]]="","",TBL_PHV[[#This Row],[Gewicht]]/(TBL_PHV[[#This Row],[Größe]]/100)^2)</f>
        <v>13.84083044982699</v>
      </c>
      <c r="W32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13.785299814542485</v>
      </c>
      <c r="X32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-4.3158553700980402</v>
      </c>
      <c r="Y32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33" spans="1:25" x14ac:dyDescent="0.25">
      <c r="A33">
        <v>29</v>
      </c>
      <c r="B33" s="8" t="s">
        <v>94</v>
      </c>
      <c r="C33" s="8" t="s">
        <v>95</v>
      </c>
      <c r="D33" s="8" t="str">
        <f>_xlfn.TEXTJOIN(" ",TRUE,TBL_PHV[[#This Row],[Vorname]],TBL_PHV[[#This Row],[Nachname]])</f>
        <v>Paul Danilowski</v>
      </c>
      <c r="E33" s="9">
        <v>41839</v>
      </c>
      <c r="F33" s="9">
        <v>44569</v>
      </c>
      <c r="G33" s="9" t="s">
        <v>35</v>
      </c>
      <c r="H33" s="9" t="s">
        <v>36</v>
      </c>
      <c r="I33" s="16" t="s">
        <v>75</v>
      </c>
      <c r="J33" s="16"/>
      <c r="K33" s="10" t="s">
        <v>38</v>
      </c>
      <c r="L33" s="11">
        <v>0.5</v>
      </c>
      <c r="M33" s="12">
        <v>126</v>
      </c>
      <c r="N33" s="11">
        <v>106.5</v>
      </c>
      <c r="O33" s="11">
        <v>23.7</v>
      </c>
      <c r="P33" s="11">
        <v>117.5</v>
      </c>
      <c r="Q33" s="11">
        <v>170</v>
      </c>
      <c r="R33" s="11">
        <v>175</v>
      </c>
      <c r="S33" s="13">
        <f>IF(TBL_PHV[[#This Row],[Sitzgröße gemessen]]="","",TBL_PHV[[#This Row],[Sitzgröße gemessen]]-$S$3)</f>
        <v>61.5</v>
      </c>
      <c r="T33" s="14">
        <f>IF(TBL_PHV[[#This Row],[Testdatum]]="","",YEARFRAC(TBL_PHV[[#This Row],[Geburtsdatum]],TBL_PHV[[#This Row],[Testdatum]]))</f>
        <v>7.4694444444444441</v>
      </c>
      <c r="U33" s="13">
        <f>IF(TBL_PHV[[#This Row],[Sitzgröße berechnet]]="","",TBL_PHV[[#This Row],[Größe]]-TBL_PHV[[#This Row],[Sitzgröße berechnet]])</f>
        <v>64.5</v>
      </c>
      <c r="V33" s="14">
        <f>IF(TBL_PHV[[#This Row],[Gewicht]]="","",TBL_PHV[[#This Row],[Gewicht]]/(TBL_PHV[[#This Row],[Größe]]/100)^2)</f>
        <v>14.92819349962207</v>
      </c>
      <c r="W33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12.686513079563493</v>
      </c>
      <c r="X33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-5.2170686351190483</v>
      </c>
      <c r="Y33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34" spans="1:25" x14ac:dyDescent="0.25">
      <c r="A34">
        <v>31</v>
      </c>
      <c r="B34" s="8" t="s">
        <v>97</v>
      </c>
      <c r="C34" s="8" t="s">
        <v>98</v>
      </c>
      <c r="D34" s="8" t="str">
        <f>_xlfn.TEXTJOIN(" ",TRUE,TBL_PHV[[#This Row],[Vorname]],TBL_PHV[[#This Row],[Nachname]])</f>
        <v>Milan Karimi-Ivanaki</v>
      </c>
      <c r="E34" s="9">
        <v>41680</v>
      </c>
      <c r="F34" s="9">
        <v>44569</v>
      </c>
      <c r="G34" s="9" t="s">
        <v>35</v>
      </c>
      <c r="H34" s="9" t="s">
        <v>36</v>
      </c>
      <c r="I34" s="16" t="s">
        <v>75</v>
      </c>
      <c r="J34" s="16"/>
      <c r="K34" s="10" t="s">
        <v>38</v>
      </c>
      <c r="L34" s="11">
        <v>0.5</v>
      </c>
      <c r="M34" s="12">
        <v>140.5</v>
      </c>
      <c r="N34" s="11">
        <v>114</v>
      </c>
      <c r="O34" s="11">
        <v>23</v>
      </c>
      <c r="P34" s="11">
        <v>134</v>
      </c>
      <c r="Q34" s="11">
        <v>176</v>
      </c>
      <c r="R34" s="11">
        <v>182</v>
      </c>
      <c r="S34" s="13">
        <f>IF(TBL_PHV[[#This Row],[Sitzgröße gemessen]]="","",TBL_PHV[[#This Row],[Sitzgröße gemessen]]-$S$3)</f>
        <v>69</v>
      </c>
      <c r="T34" s="14">
        <f>IF(TBL_PHV[[#This Row],[Testdatum]]="","",YEARFRAC(TBL_PHV[[#This Row],[Geburtsdatum]],TBL_PHV[[#This Row],[Testdatum]]))</f>
        <v>7.9111111111111114</v>
      </c>
      <c r="U34" s="13">
        <f>IF(TBL_PHV[[#This Row],[Sitzgröße berechnet]]="","",TBL_PHV[[#This Row],[Größe]]-TBL_PHV[[#This Row],[Sitzgröße berechnet]])</f>
        <v>71.5</v>
      </c>
      <c r="V34" s="14">
        <f>IF(TBL_PHV[[#This Row],[Gewicht]]="","",TBL_PHV[[#This Row],[Gewicht]]/(TBL_PHV[[#This Row],[Größe]]/100)^2)</f>
        <v>11.651321538481021</v>
      </c>
      <c r="W34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12.437609308580468</v>
      </c>
      <c r="X34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-4.5264981974693566</v>
      </c>
      <c r="Y34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35" spans="1:25" x14ac:dyDescent="0.25">
      <c r="A35">
        <v>37</v>
      </c>
      <c r="B35" s="8" t="s">
        <v>110</v>
      </c>
      <c r="C35" s="8" t="s">
        <v>111</v>
      </c>
      <c r="D35" s="8" t="str">
        <f>_xlfn.TEXTJOIN(" ",TRUE,TBL_PHV[[#This Row],[Vorname]],TBL_PHV[[#This Row],[Nachname]])</f>
        <v>Hugo Breucker</v>
      </c>
      <c r="E35" s="9">
        <v>41356</v>
      </c>
      <c r="F35" s="9">
        <v>44569</v>
      </c>
      <c r="G35" s="9" t="s">
        <v>35</v>
      </c>
      <c r="H35" s="9" t="s">
        <v>36</v>
      </c>
      <c r="I35" s="16" t="s">
        <v>75</v>
      </c>
      <c r="J35" s="16"/>
      <c r="K35" s="10" t="s">
        <v>38</v>
      </c>
      <c r="L35" s="11">
        <v>2</v>
      </c>
      <c r="M35" s="12">
        <v>147.5</v>
      </c>
      <c r="N35" s="11">
        <v>120</v>
      </c>
      <c r="O35" s="11">
        <v>33.6</v>
      </c>
      <c r="P35" s="11">
        <v>146</v>
      </c>
      <c r="Q35" s="11">
        <v>178</v>
      </c>
      <c r="R35" s="11">
        <v>184</v>
      </c>
      <c r="S35" s="13">
        <f>IF(TBL_PHV[[#This Row],[Sitzgröße gemessen]]="","",TBL_PHV[[#This Row],[Sitzgröße gemessen]]-$S$3)</f>
        <v>75</v>
      </c>
      <c r="T35" s="14">
        <f>IF(TBL_PHV[[#This Row],[Testdatum]]="","",YEARFRAC(TBL_PHV[[#This Row],[Geburtsdatum]],TBL_PHV[[#This Row],[Testdatum]]))</f>
        <v>8.7916666666666661</v>
      </c>
      <c r="U35" s="13">
        <f>IF(TBL_PHV[[#This Row],[Sitzgröße berechnet]]="","",TBL_PHV[[#This Row],[Größe]]-TBL_PHV[[#This Row],[Sitzgröße berechnet]])</f>
        <v>72.5</v>
      </c>
      <c r="V35" s="14">
        <f>IF(TBL_PHV[[#This Row],[Gewicht]]="","",TBL_PHV[[#This Row],[Gewicht]]/(TBL_PHV[[#This Row],[Größe]]/100)^2)</f>
        <v>15.443837977592645</v>
      </c>
      <c r="W35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12.335021106991526</v>
      </c>
      <c r="X35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-3.54335444032486</v>
      </c>
      <c r="Y35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36" spans="1:25" x14ac:dyDescent="0.25">
      <c r="A36">
        <v>43</v>
      </c>
      <c r="B36" s="8" t="s">
        <v>121</v>
      </c>
      <c r="C36" s="8" t="s">
        <v>122</v>
      </c>
      <c r="D36" s="8" t="str">
        <f>_xlfn.TEXTJOIN(" ",TRUE,TBL_PHV[[#This Row],[Vorname]],TBL_PHV[[#This Row],[Nachname]])</f>
        <v>Julian Behr</v>
      </c>
      <c r="E36" s="9">
        <v>41878</v>
      </c>
      <c r="F36" s="9">
        <v>44569</v>
      </c>
      <c r="G36" s="9" t="s">
        <v>35</v>
      </c>
      <c r="H36" s="9" t="s">
        <v>36</v>
      </c>
      <c r="I36" s="16" t="s">
        <v>75</v>
      </c>
      <c r="J36" s="16"/>
      <c r="K36" s="10" t="s">
        <v>38</v>
      </c>
      <c r="L36" s="11">
        <v>0.5</v>
      </c>
      <c r="M36" s="12">
        <v>131</v>
      </c>
      <c r="N36" s="11">
        <v>111</v>
      </c>
      <c r="O36" s="11">
        <v>25.5</v>
      </c>
      <c r="P36" s="11">
        <v>125</v>
      </c>
      <c r="Q36" s="11">
        <v>172</v>
      </c>
      <c r="R36" s="11">
        <v>189</v>
      </c>
      <c r="S36" s="13">
        <f>IF(TBL_PHV[[#This Row],[Sitzgröße gemessen]]="","",TBL_PHV[[#This Row],[Sitzgröße gemessen]]-$S$3)</f>
        <v>66</v>
      </c>
      <c r="T36" s="14">
        <f>IF(TBL_PHV[[#This Row],[Testdatum]]="","",YEARFRAC(TBL_PHV[[#This Row],[Geburtsdatum]],TBL_PHV[[#This Row],[Testdatum]]))</f>
        <v>7.3638888888888889</v>
      </c>
      <c r="U36" s="13">
        <f>IF(TBL_PHV[[#This Row],[Sitzgröße berechnet]]="","",TBL_PHV[[#This Row],[Größe]]-TBL_PHV[[#This Row],[Sitzgröße berechnet]])</f>
        <v>65</v>
      </c>
      <c r="V36" s="14">
        <f>IF(TBL_PHV[[#This Row],[Gewicht]]="","",TBL_PHV[[#This Row],[Gewicht]]/(TBL_PHV[[#This Row],[Größe]]/100)^2)</f>
        <v>14.859273935085366</v>
      </c>
      <c r="W36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12.28090751991094</v>
      </c>
      <c r="X36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-4.9170186310220521</v>
      </c>
      <c r="Y36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37" spans="1:25" x14ac:dyDescent="0.25">
      <c r="A37">
        <v>40</v>
      </c>
      <c r="B37" s="8" t="s">
        <v>115</v>
      </c>
      <c r="C37" s="8" t="s">
        <v>49</v>
      </c>
      <c r="D37" s="8" t="str">
        <f>_xlfn.TEXTJOIN(" ",TRUE,TBL_PHV[[#This Row],[Vorname]],TBL_PHV[[#This Row],[Nachname]])</f>
        <v>Mats Eckervogt</v>
      </c>
      <c r="E37" s="9">
        <v>41663</v>
      </c>
      <c r="F37" s="9">
        <v>44569</v>
      </c>
      <c r="G37" s="9" t="s">
        <v>35</v>
      </c>
      <c r="H37" s="9" t="s">
        <v>36</v>
      </c>
      <c r="I37" s="16" t="s">
        <v>116</v>
      </c>
      <c r="J37" s="16"/>
      <c r="K37" s="10" t="s">
        <v>38</v>
      </c>
      <c r="L37" s="11">
        <v>0.5</v>
      </c>
      <c r="M37" s="12">
        <v>143</v>
      </c>
      <c r="N37" s="11">
        <v>115</v>
      </c>
      <c r="O37" s="11">
        <v>33.9</v>
      </c>
      <c r="P37" s="11">
        <v>138</v>
      </c>
      <c r="Q37" s="11">
        <v>168</v>
      </c>
      <c r="R37" s="11">
        <v>195</v>
      </c>
      <c r="S37" s="13">
        <f>IF(TBL_PHV[[#This Row],[Sitzgröße gemessen]]="","",TBL_PHV[[#This Row],[Sitzgröße gemessen]]-$S$3)</f>
        <v>70</v>
      </c>
      <c r="T37" s="14">
        <f>IF(TBL_PHV[[#This Row],[Testdatum]]="","",YEARFRAC(TBL_PHV[[#This Row],[Geburtsdatum]],TBL_PHV[[#This Row],[Testdatum]]))</f>
        <v>7.9555555555555557</v>
      </c>
      <c r="U37" s="13">
        <f>IF(TBL_PHV[[#This Row],[Sitzgröße berechnet]]="","",TBL_PHV[[#This Row],[Größe]]-TBL_PHV[[#This Row],[Sitzgröße berechnet]])</f>
        <v>73</v>
      </c>
      <c r="V37" s="14">
        <f>IF(TBL_PHV[[#This Row],[Gewicht]]="","",TBL_PHV[[#This Row],[Gewicht]]/(TBL_PHV[[#This Row],[Größe]]/100)^2)</f>
        <v>16.577827766638958</v>
      </c>
      <c r="W37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12.211705570473971</v>
      </c>
      <c r="X37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-4.2561500149184148</v>
      </c>
      <c r="Y37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38" spans="1:25" x14ac:dyDescent="0.25">
      <c r="A38">
        <v>8</v>
      </c>
      <c r="B38" s="8" t="s">
        <v>52</v>
      </c>
      <c r="C38" s="8" t="s">
        <v>53</v>
      </c>
      <c r="D38" s="8" t="str">
        <f>_xlfn.TEXTJOIN(" ",TRUE,TBL_PHV[[#This Row],[Vorname]],TBL_PHV[[#This Row],[Nachname]])</f>
        <v>Amelie Friedrich</v>
      </c>
      <c r="E38" s="9">
        <v>40731</v>
      </c>
      <c r="F38" s="9">
        <v>44569</v>
      </c>
      <c r="G38" s="9" t="s">
        <v>35</v>
      </c>
      <c r="H38" s="9" t="s">
        <v>36</v>
      </c>
      <c r="I38" s="16" t="s">
        <v>54</v>
      </c>
      <c r="J38" s="16"/>
      <c r="K38" s="10" t="s">
        <v>55</v>
      </c>
      <c r="L38" s="11">
        <v>2</v>
      </c>
      <c r="M38" s="12">
        <v>161</v>
      </c>
      <c r="N38" s="11">
        <v>126</v>
      </c>
      <c r="O38" s="11">
        <v>43.8</v>
      </c>
      <c r="P38" s="11">
        <v>159.5</v>
      </c>
      <c r="Q38" s="11">
        <v>187</v>
      </c>
      <c r="R38" s="11">
        <v>198</v>
      </c>
      <c r="S38" s="13">
        <f>IF(TBL_PHV[[#This Row],[Sitzgröße gemessen]]="","",TBL_PHV[[#This Row],[Sitzgröße gemessen]]-$S$3)</f>
        <v>81</v>
      </c>
      <c r="T38" s="14">
        <f>IF(TBL_PHV[[#This Row],[Testdatum]]="","",YEARFRAC(TBL_PHV[[#This Row],[Geburtsdatum]],TBL_PHV[[#This Row],[Testdatum]]))</f>
        <v>10.502777777777778</v>
      </c>
      <c r="U38" s="13">
        <f>IF(TBL_PHV[[#This Row],[Sitzgröße berechnet]]="","",TBL_PHV[[#This Row],[Größe]]-TBL_PHV[[#This Row],[Sitzgröße berechnet]])</f>
        <v>80</v>
      </c>
      <c r="V38" s="14">
        <f>IF(TBL_PHV[[#This Row],[Gewicht]]="","",TBL_PHV[[#This Row],[Gewicht]]/(TBL_PHV[[#This Row],[Größe]]/100)^2)</f>
        <v>16.897496238571041</v>
      </c>
      <c r="W38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10.971527493019323</v>
      </c>
      <c r="X38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-0.46874971524154585</v>
      </c>
      <c r="Y38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-0.5 bis 0.5</v>
      </c>
    </row>
    <row r="39" spans="1:25" x14ac:dyDescent="0.25">
      <c r="A39">
        <v>39</v>
      </c>
      <c r="B39" s="8" t="s">
        <v>112</v>
      </c>
      <c r="C39" s="8" t="s">
        <v>114</v>
      </c>
      <c r="D39" s="8" t="str">
        <f>_xlfn.TEXTJOIN(" ",TRUE,TBL_PHV[[#This Row],[Vorname]],TBL_PHV[[#This Row],[Nachname]])</f>
        <v>Flora Tegeler</v>
      </c>
      <c r="E39" s="9">
        <v>40862</v>
      </c>
      <c r="F39" s="9">
        <v>44569</v>
      </c>
      <c r="G39" s="9" t="s">
        <v>35</v>
      </c>
      <c r="H39" s="9" t="s">
        <v>36</v>
      </c>
      <c r="I39" s="16" t="s">
        <v>54</v>
      </c>
      <c r="J39" s="16"/>
      <c r="K39" s="10" t="s">
        <v>55</v>
      </c>
      <c r="L39" s="11">
        <v>4.5</v>
      </c>
      <c r="M39" s="12">
        <v>145</v>
      </c>
      <c r="N39" s="11">
        <v>118</v>
      </c>
      <c r="O39" s="11">
        <v>36.200000000000003</v>
      </c>
      <c r="P39" s="11">
        <v>142</v>
      </c>
      <c r="Q39" s="11">
        <v>172</v>
      </c>
      <c r="R39" s="11">
        <v>172</v>
      </c>
      <c r="S39" s="13">
        <f>IF(TBL_PHV[[#This Row],[Sitzgröße gemessen]]="","",TBL_PHV[[#This Row],[Sitzgröße gemessen]]-$S$3)</f>
        <v>73</v>
      </c>
      <c r="T39" s="14">
        <f>IF(TBL_PHV[[#This Row],[Testdatum]]="","",YEARFRAC(TBL_PHV[[#This Row],[Geburtsdatum]],TBL_PHV[[#This Row],[Testdatum]]))</f>
        <v>10.147222222222222</v>
      </c>
      <c r="U39" s="13">
        <f>IF(TBL_PHV[[#This Row],[Sitzgröße berechnet]]="","",TBL_PHV[[#This Row],[Größe]]-TBL_PHV[[#This Row],[Sitzgröße berechnet]])</f>
        <v>72</v>
      </c>
      <c r="V39" s="14">
        <f>IF(TBL_PHV[[#This Row],[Gewicht]]="","",TBL_PHV[[#This Row],[Gewicht]]/(TBL_PHV[[#This Row],[Größe]]/100)^2)</f>
        <v>17.217598097502975</v>
      </c>
      <c r="W39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11.655782919176245</v>
      </c>
      <c r="X39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-1.508560696954022</v>
      </c>
      <c r="Y39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 bis -1.5</v>
      </c>
    </row>
    <row r="40" spans="1:25" x14ac:dyDescent="0.25">
      <c r="A40">
        <v>41</v>
      </c>
      <c r="B40" s="8" t="s">
        <v>117</v>
      </c>
      <c r="C40" s="8" t="s">
        <v>118</v>
      </c>
      <c r="D40" s="8" t="str">
        <f>_xlfn.TEXTJOIN(" ",TRUE,TBL_PHV[[#This Row],[Vorname]],TBL_PHV[[#This Row],[Nachname]])</f>
        <v xml:space="preserve">Mila Urbach </v>
      </c>
      <c r="E40" s="9">
        <v>40711</v>
      </c>
      <c r="F40" s="9">
        <v>44569</v>
      </c>
      <c r="G40" s="9" t="s">
        <v>35</v>
      </c>
      <c r="H40" s="9" t="s">
        <v>36</v>
      </c>
      <c r="I40" s="16" t="s">
        <v>54</v>
      </c>
      <c r="J40" s="16"/>
      <c r="K40" s="10" t="s">
        <v>55</v>
      </c>
      <c r="L40" s="11">
        <v>1.5</v>
      </c>
      <c r="M40" s="12">
        <v>146.5</v>
      </c>
      <c r="N40" s="11">
        <v>115</v>
      </c>
      <c r="O40" s="11">
        <v>38.200000000000003</v>
      </c>
      <c r="P40" s="11">
        <v>147</v>
      </c>
      <c r="Q40" s="11">
        <v>170</v>
      </c>
      <c r="R40" s="11">
        <v>180</v>
      </c>
      <c r="S40" s="13">
        <f>IF(TBL_PHV[[#This Row],[Sitzgröße gemessen]]="","",TBL_PHV[[#This Row],[Sitzgröße gemessen]]-$S$3)</f>
        <v>70</v>
      </c>
      <c r="T40" s="14">
        <f>IF(TBL_PHV[[#This Row],[Testdatum]]="","",YEARFRAC(TBL_PHV[[#This Row],[Geburtsdatum]],TBL_PHV[[#This Row],[Testdatum]]))</f>
        <v>10.558333333333334</v>
      </c>
      <c r="U40" s="13">
        <f>IF(TBL_PHV[[#This Row],[Sitzgröße berechnet]]="","",TBL_PHV[[#This Row],[Größe]]-TBL_PHV[[#This Row],[Sitzgröße berechnet]])</f>
        <v>76.5</v>
      </c>
      <c r="V40" s="14">
        <f>IF(TBL_PHV[[#This Row],[Gewicht]]="","",TBL_PHV[[#This Row],[Gewicht]]/(TBL_PHV[[#This Row],[Größe]]/100)^2)</f>
        <v>17.79869305408333</v>
      </c>
      <c r="W40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11.898659479340157</v>
      </c>
      <c r="X40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-1.3403261460068241</v>
      </c>
      <c r="Y40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41" spans="1:25" x14ac:dyDescent="0.25">
      <c r="A41">
        <v>42</v>
      </c>
      <c r="B41" s="8" t="s">
        <v>119</v>
      </c>
      <c r="C41" s="8" t="s">
        <v>120</v>
      </c>
      <c r="D41" s="8" t="str">
        <f>_xlfn.TEXTJOIN(" ",TRUE,TBL_PHV[[#This Row],[Vorname]],TBL_PHV[[#This Row],[Nachname]])</f>
        <v>Elisa Joneidi</v>
      </c>
      <c r="E41" s="9">
        <v>40779</v>
      </c>
      <c r="F41" s="9">
        <v>44569</v>
      </c>
      <c r="G41" s="9" t="s">
        <v>35</v>
      </c>
      <c r="H41" s="9" t="s">
        <v>36</v>
      </c>
      <c r="I41" s="16" t="s">
        <v>54</v>
      </c>
      <c r="J41" s="16"/>
      <c r="K41" s="10" t="s">
        <v>55</v>
      </c>
      <c r="L41" s="11">
        <v>2</v>
      </c>
      <c r="M41" s="12">
        <v>154</v>
      </c>
      <c r="N41" s="11">
        <v>119</v>
      </c>
      <c r="O41" s="11">
        <v>43.9</v>
      </c>
      <c r="P41" s="11">
        <v>157.5</v>
      </c>
      <c r="Q41" s="11">
        <v>169</v>
      </c>
      <c r="R41" s="11">
        <v>186</v>
      </c>
      <c r="S41" s="13">
        <f>IF(TBL_PHV[[#This Row],[Sitzgröße gemessen]]="","",TBL_PHV[[#This Row],[Sitzgröße gemessen]]-$S$3)</f>
        <v>74</v>
      </c>
      <c r="T41" s="14">
        <f>IF(TBL_PHV[[#This Row],[Testdatum]]="","",YEARFRAC(TBL_PHV[[#This Row],[Geburtsdatum]],TBL_PHV[[#This Row],[Testdatum]]))</f>
        <v>10.372222222222222</v>
      </c>
      <c r="U41" s="13">
        <f>IF(TBL_PHV[[#This Row],[Sitzgröße berechnet]]="","",TBL_PHV[[#This Row],[Größe]]-TBL_PHV[[#This Row],[Sitzgröße berechnet]])</f>
        <v>80</v>
      </c>
      <c r="V41" s="14">
        <f>IF(TBL_PHV[[#This Row],[Gewicht]]="","",TBL_PHV[[#This Row],[Gewicht]]/(TBL_PHV[[#This Row],[Größe]]/100)^2)</f>
        <v>18.510710069151628</v>
      </c>
      <c r="W41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11.342630662323231</v>
      </c>
      <c r="X41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-0.97040844010100979</v>
      </c>
      <c r="Y41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42" spans="1:25" x14ac:dyDescent="0.25">
      <c r="A42">
        <v>44</v>
      </c>
      <c r="B42" s="8" t="s">
        <v>123</v>
      </c>
      <c r="C42" s="8" t="s">
        <v>124</v>
      </c>
      <c r="D42" s="8" t="str">
        <f>_xlfn.TEXTJOIN(" ",TRUE,TBL_PHV[[#This Row],[Vorname]],TBL_PHV[[#This Row],[Nachname]])</f>
        <v>Sophia Kunzmann</v>
      </c>
      <c r="E42" s="9">
        <v>40220</v>
      </c>
      <c r="F42" s="9">
        <v>44569</v>
      </c>
      <c r="G42" s="9" t="s">
        <v>35</v>
      </c>
      <c r="H42" s="9" t="s">
        <v>36</v>
      </c>
      <c r="I42" s="16" t="s">
        <v>54</v>
      </c>
      <c r="J42" s="16"/>
      <c r="K42" s="10" t="s">
        <v>55</v>
      </c>
      <c r="L42" s="11">
        <v>3.5</v>
      </c>
      <c r="M42" s="12">
        <v>162</v>
      </c>
      <c r="N42" s="11">
        <v>126</v>
      </c>
      <c r="O42" s="11">
        <v>52.7</v>
      </c>
      <c r="P42" s="11">
        <v>160</v>
      </c>
      <c r="Q42" s="11">
        <v>169</v>
      </c>
      <c r="R42" s="11">
        <v>179</v>
      </c>
      <c r="S42" s="13">
        <f>IF(TBL_PHV[[#This Row],[Sitzgröße gemessen]]="","",TBL_PHV[[#This Row],[Sitzgröße gemessen]]-$S$3)</f>
        <v>81</v>
      </c>
      <c r="T42" s="14">
        <f>IF(TBL_PHV[[#This Row],[Testdatum]]="","",YEARFRAC(TBL_PHV[[#This Row],[Geburtsdatum]],TBL_PHV[[#This Row],[Testdatum]]))</f>
        <v>11.908333333333333</v>
      </c>
      <c r="U42" s="13">
        <f>IF(TBL_PHV[[#This Row],[Sitzgröße berechnet]]="","",TBL_PHV[[#This Row],[Größe]]-TBL_PHV[[#This Row],[Sitzgröße berechnet]])</f>
        <v>81</v>
      </c>
      <c r="V42" s="14">
        <f>IF(TBL_PHV[[#This Row],[Gewicht]]="","",TBL_PHV[[#This Row],[Gewicht]]/(TBL_PHV[[#This Row],[Größe]]/100)^2)</f>
        <v>20.080780368846209</v>
      </c>
      <c r="W42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11.458885020617284</v>
      </c>
      <c r="X42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0.44944831271604935</v>
      </c>
      <c r="Y42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-0.5 bis 0.5</v>
      </c>
    </row>
    <row r="43" spans="1:25" x14ac:dyDescent="0.25">
      <c r="A43">
        <v>45</v>
      </c>
      <c r="B43" s="8" t="s">
        <v>125</v>
      </c>
      <c r="C43" s="8" t="s">
        <v>126</v>
      </c>
      <c r="D43" s="8" t="str">
        <f>_xlfn.TEXTJOIN(" ",TRUE,TBL_PHV[[#This Row],[Vorname]],TBL_PHV[[#This Row],[Nachname]])</f>
        <v>Samuel Tjia</v>
      </c>
      <c r="E43" s="9">
        <v>40613</v>
      </c>
      <c r="F43" s="9">
        <v>44569</v>
      </c>
      <c r="G43" s="9" t="s">
        <v>35</v>
      </c>
      <c r="H43" s="9" t="s">
        <v>36</v>
      </c>
      <c r="I43" s="16" t="s">
        <v>54</v>
      </c>
      <c r="J43" s="16"/>
      <c r="K43" s="10" t="s">
        <v>38</v>
      </c>
      <c r="L43" s="11">
        <v>4</v>
      </c>
      <c r="M43" s="12">
        <v>153</v>
      </c>
      <c r="N43" s="11">
        <v>119.5</v>
      </c>
      <c r="O43" s="11">
        <v>43.8</v>
      </c>
      <c r="P43" s="11">
        <v>146</v>
      </c>
      <c r="Q43" s="11">
        <v>164</v>
      </c>
      <c r="R43" s="11">
        <v>180</v>
      </c>
      <c r="S43" s="13">
        <f>IF(TBL_PHV[[#This Row],[Sitzgröße gemessen]]="","",TBL_PHV[[#This Row],[Sitzgröße gemessen]]-$S$3)</f>
        <v>74.5</v>
      </c>
      <c r="T43" s="14">
        <f>IF(TBL_PHV[[#This Row],[Testdatum]]="","",YEARFRAC(TBL_PHV[[#This Row],[Geburtsdatum]],TBL_PHV[[#This Row],[Testdatum]]))</f>
        <v>10.824999999999999</v>
      </c>
      <c r="U43" s="13">
        <f>IF(TBL_PHV[[#This Row],[Sitzgröße berechnet]]="","",TBL_PHV[[#This Row],[Größe]]-TBL_PHV[[#This Row],[Sitzgröße berechnet]])</f>
        <v>78.5</v>
      </c>
      <c r="V43" s="14">
        <f>IF(TBL_PHV[[#This Row],[Gewicht]]="","",TBL_PHV[[#This Row],[Gewicht]]/(TBL_PHV[[#This Row],[Größe]]/100)^2)</f>
        <v>18.710752274766115</v>
      </c>
      <c r="W43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13.414874361029412</v>
      </c>
      <c r="X43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-2.5898743610294117</v>
      </c>
      <c r="Y43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44" spans="1:25" x14ac:dyDescent="0.25">
      <c r="A44">
        <v>46</v>
      </c>
      <c r="B44" s="8" t="s">
        <v>127</v>
      </c>
      <c r="C44" s="8" t="s">
        <v>128</v>
      </c>
      <c r="D44" s="8" t="str">
        <f>_xlfn.TEXTJOIN(" ",TRUE,TBL_PHV[[#This Row],[Vorname]],TBL_PHV[[#This Row],[Nachname]])</f>
        <v>Claas Pfortje</v>
      </c>
      <c r="E44" s="9">
        <v>40635</v>
      </c>
      <c r="F44" s="9">
        <v>44569</v>
      </c>
      <c r="G44" s="9" t="s">
        <v>35</v>
      </c>
      <c r="H44" s="9" t="s">
        <v>36</v>
      </c>
      <c r="I44" s="16" t="s">
        <v>54</v>
      </c>
      <c r="J44" s="16"/>
      <c r="K44" s="10" t="s">
        <v>38</v>
      </c>
      <c r="L44" s="11">
        <v>4</v>
      </c>
      <c r="M44" s="12">
        <v>158</v>
      </c>
      <c r="N44" s="11">
        <v>122.5</v>
      </c>
      <c r="O44" s="11">
        <v>51.1</v>
      </c>
      <c r="P44" s="11">
        <v>155.5</v>
      </c>
      <c r="Q44" s="11">
        <v>170</v>
      </c>
      <c r="R44" s="11">
        <v>195</v>
      </c>
      <c r="S44" s="13">
        <f>IF(TBL_PHV[[#This Row],[Sitzgröße gemessen]]="","",TBL_PHV[[#This Row],[Sitzgröße gemessen]]-$S$3)</f>
        <v>77.5</v>
      </c>
      <c r="T44" s="14">
        <f>IF(TBL_PHV[[#This Row],[Testdatum]]="","",YEARFRAC(TBL_PHV[[#This Row],[Geburtsdatum]],TBL_PHV[[#This Row],[Testdatum]]))</f>
        <v>10.766666666666667</v>
      </c>
      <c r="U44" s="13">
        <f>IF(TBL_PHV[[#This Row],[Sitzgröße berechnet]]="","",TBL_PHV[[#This Row],[Größe]]-TBL_PHV[[#This Row],[Sitzgröße berechnet]])</f>
        <v>80.5</v>
      </c>
      <c r="V44" s="14">
        <f>IF(TBL_PHV[[#This Row],[Gewicht]]="","",TBL_PHV[[#This Row],[Gewicht]]/(TBL_PHV[[#This Row],[Größe]]/100)^2)</f>
        <v>20.469476045505527</v>
      </c>
      <c r="W44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12.992138898945148</v>
      </c>
      <c r="X44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-2.2254722322784808</v>
      </c>
      <c r="Y44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 bis -1.5</v>
      </c>
    </row>
    <row r="45" spans="1:25" x14ac:dyDescent="0.25">
      <c r="A45">
        <v>47</v>
      </c>
      <c r="B45" s="8" t="s">
        <v>129</v>
      </c>
      <c r="C45" s="8" t="s">
        <v>109</v>
      </c>
      <c r="D45" s="8" t="str">
        <f>_xlfn.TEXTJOIN(" ",TRUE,TBL_PHV[[#This Row],[Vorname]],TBL_PHV[[#This Row],[Nachname]])</f>
        <v>Marie Oberwinder</v>
      </c>
      <c r="E45" s="9">
        <v>40677</v>
      </c>
      <c r="F45" s="9">
        <v>44569</v>
      </c>
      <c r="G45" s="9" t="s">
        <v>35</v>
      </c>
      <c r="H45" s="9" t="s">
        <v>36</v>
      </c>
      <c r="I45" s="16" t="s">
        <v>54</v>
      </c>
      <c r="J45" s="16"/>
      <c r="K45" s="10" t="s">
        <v>55</v>
      </c>
      <c r="L45" s="11">
        <v>3.5</v>
      </c>
      <c r="M45" s="12">
        <v>151.5</v>
      </c>
      <c r="N45" s="11">
        <v>121.5</v>
      </c>
      <c r="O45" s="11">
        <v>36.9</v>
      </c>
      <c r="P45" s="11">
        <v>143</v>
      </c>
      <c r="Q45" s="11">
        <v>173</v>
      </c>
      <c r="R45" s="11">
        <v>178</v>
      </c>
      <c r="S45" s="13">
        <f>IF(TBL_PHV[[#This Row],[Sitzgröße gemessen]]="","",TBL_PHV[[#This Row],[Sitzgröße gemessen]]-$S$3)</f>
        <v>76.5</v>
      </c>
      <c r="T45" s="14">
        <f>IF(TBL_PHV[[#This Row],[Testdatum]]="","",YEARFRAC(TBL_PHV[[#This Row],[Geburtsdatum]],TBL_PHV[[#This Row],[Testdatum]]))</f>
        <v>10.65</v>
      </c>
      <c r="U45" s="13">
        <f>IF(TBL_PHV[[#This Row],[Sitzgröße berechnet]]="","",TBL_PHV[[#This Row],[Größe]]-TBL_PHV[[#This Row],[Sitzgröße berechnet]])</f>
        <v>75</v>
      </c>
      <c r="V45" s="14">
        <f>IF(TBL_PHV[[#This Row],[Gewicht]]="","",TBL_PHV[[#This Row],[Gewicht]]/(TBL_PHV[[#This Row],[Größe]]/100)^2)</f>
        <v>16.076855210273504</v>
      </c>
      <c r="W45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11.600957310940593</v>
      </c>
      <c r="X45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-0.95095731094059399</v>
      </c>
      <c r="Y45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46" spans="1:25" x14ac:dyDescent="0.25">
      <c r="A46">
        <v>49</v>
      </c>
      <c r="B46" s="8" t="s">
        <v>133</v>
      </c>
      <c r="C46" s="8" t="s">
        <v>95</v>
      </c>
      <c r="D46" s="8" t="str">
        <f>_xlfn.TEXTJOIN(" ",TRUE,TBL_PHV[[#This Row],[Vorname]],TBL_PHV[[#This Row],[Nachname]])</f>
        <v>Paul Horst</v>
      </c>
      <c r="E46" s="9">
        <v>40796</v>
      </c>
      <c r="F46" s="9">
        <v>44569</v>
      </c>
      <c r="G46" s="9" t="s">
        <v>35</v>
      </c>
      <c r="H46" s="9" t="s">
        <v>36</v>
      </c>
      <c r="I46" s="16" t="s">
        <v>54</v>
      </c>
      <c r="J46" s="16"/>
      <c r="K46" s="10" t="s">
        <v>38</v>
      </c>
      <c r="L46" s="11">
        <v>2.5</v>
      </c>
      <c r="M46" s="12">
        <v>136</v>
      </c>
      <c r="N46" s="11">
        <v>112</v>
      </c>
      <c r="O46" s="11">
        <v>30.8</v>
      </c>
      <c r="P46" s="11">
        <v>131</v>
      </c>
      <c r="Q46" s="11">
        <v>167</v>
      </c>
      <c r="R46" s="11">
        <v>186</v>
      </c>
      <c r="S46" s="13">
        <f>IF(TBL_PHV[[#This Row],[Sitzgröße gemessen]]="","",TBL_PHV[[#This Row],[Sitzgröße gemessen]]-$S$3)</f>
        <v>67</v>
      </c>
      <c r="T46" s="14">
        <f>IF(TBL_PHV[[#This Row],[Testdatum]]="","",YEARFRAC(TBL_PHV[[#This Row],[Geburtsdatum]],TBL_PHV[[#This Row],[Testdatum]]))</f>
        <v>10.327777777777778</v>
      </c>
      <c r="U46" s="13">
        <f>IF(TBL_PHV[[#This Row],[Sitzgröße berechnet]]="","",TBL_PHV[[#This Row],[Größe]]-TBL_PHV[[#This Row],[Sitzgröße berechnet]])</f>
        <v>69</v>
      </c>
      <c r="V46" s="14">
        <f>IF(TBL_PHV[[#This Row],[Gewicht]]="","",TBL_PHV[[#This Row],[Gewicht]]/(TBL_PHV[[#This Row],[Größe]]/100)^2)</f>
        <v>16.652249134948093</v>
      </c>
      <c r="W46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13.984688928431371</v>
      </c>
      <c r="X46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-3.6569111506535945</v>
      </c>
      <c r="Y46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47" spans="1:25" x14ac:dyDescent="0.25">
      <c r="A47">
        <v>50</v>
      </c>
      <c r="B47" s="8" t="s">
        <v>134</v>
      </c>
      <c r="C47" s="8" t="s">
        <v>135</v>
      </c>
      <c r="D47" s="8" t="str">
        <f>_xlfn.TEXTJOIN(" ",TRUE,TBL_PHV[[#This Row],[Vorname]],TBL_PHV[[#This Row],[Nachname]])</f>
        <v>Johann  Altmann</v>
      </c>
      <c r="E47" s="9">
        <v>40635</v>
      </c>
      <c r="F47" s="9">
        <v>44569</v>
      </c>
      <c r="G47" s="9" t="s">
        <v>35</v>
      </c>
      <c r="H47" s="9" t="s">
        <v>36</v>
      </c>
      <c r="I47" s="16" t="s">
        <v>54</v>
      </c>
      <c r="J47" s="16"/>
      <c r="K47" s="10" t="s">
        <v>38</v>
      </c>
      <c r="L47" s="11">
        <v>2.5</v>
      </c>
      <c r="M47" s="12">
        <v>148</v>
      </c>
      <c r="N47" s="11">
        <v>117.5</v>
      </c>
      <c r="O47" s="11">
        <v>38.9</v>
      </c>
      <c r="P47" s="11">
        <v>150</v>
      </c>
      <c r="Q47" s="11">
        <v>170</v>
      </c>
      <c r="R47" s="11">
        <v>175</v>
      </c>
      <c r="S47" s="13">
        <f>IF(TBL_PHV[[#This Row],[Sitzgröße gemessen]]="","",TBL_PHV[[#This Row],[Sitzgröße gemessen]]-$S$3)</f>
        <v>72.5</v>
      </c>
      <c r="T47" s="14">
        <f>IF(TBL_PHV[[#This Row],[Testdatum]]="","",YEARFRAC(TBL_PHV[[#This Row],[Geburtsdatum]],TBL_PHV[[#This Row],[Testdatum]]))</f>
        <v>10.766666666666667</v>
      </c>
      <c r="U47" s="13">
        <f>IF(TBL_PHV[[#This Row],[Sitzgröße berechnet]]="","",TBL_PHV[[#This Row],[Größe]]-TBL_PHV[[#This Row],[Sitzgröße berechnet]])</f>
        <v>75.5</v>
      </c>
      <c r="V47" s="14">
        <f>IF(TBL_PHV[[#This Row],[Gewicht]]="","",TBL_PHV[[#This Row],[Gewicht]]/(TBL_PHV[[#This Row],[Größe]]/100)^2)</f>
        <v>17.759313367421477</v>
      </c>
      <c r="W47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13.637086492342343</v>
      </c>
      <c r="X47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-2.870419825675675</v>
      </c>
      <c r="Y47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48" spans="1:25" x14ac:dyDescent="0.25">
      <c r="A48">
        <v>51</v>
      </c>
      <c r="B48" s="8" t="s">
        <v>136</v>
      </c>
      <c r="C48" s="8" t="s">
        <v>137</v>
      </c>
      <c r="D48" s="8" t="str">
        <f>_xlfn.TEXTJOIN(" ",TRUE,TBL_PHV[[#This Row],[Vorname]],TBL_PHV[[#This Row],[Nachname]])</f>
        <v xml:space="preserve">Arjan Mohr </v>
      </c>
      <c r="E48" s="9">
        <v>40771</v>
      </c>
      <c r="F48" s="9">
        <v>44569</v>
      </c>
      <c r="G48" s="9" t="s">
        <v>35</v>
      </c>
      <c r="H48" s="9" t="s">
        <v>36</v>
      </c>
      <c r="I48" s="16" t="s">
        <v>54</v>
      </c>
      <c r="J48" s="16"/>
      <c r="K48" s="10" t="s">
        <v>38</v>
      </c>
      <c r="L48" s="11">
        <v>3</v>
      </c>
      <c r="M48" s="12">
        <v>158</v>
      </c>
      <c r="N48" s="11">
        <v>123.5</v>
      </c>
      <c r="O48" s="11">
        <v>38.6</v>
      </c>
      <c r="P48" s="11">
        <v>152.5</v>
      </c>
      <c r="Q48" s="11">
        <v>180</v>
      </c>
      <c r="R48" s="11">
        <v>190</v>
      </c>
      <c r="S48" s="13">
        <f>IF(TBL_PHV[[#This Row],[Sitzgröße gemessen]]="","",TBL_PHV[[#This Row],[Sitzgröße gemessen]]-$S$3)</f>
        <v>78.5</v>
      </c>
      <c r="T48" s="14">
        <f>IF(TBL_PHV[[#This Row],[Testdatum]]="","",YEARFRAC(TBL_PHV[[#This Row],[Geburtsdatum]],TBL_PHV[[#This Row],[Testdatum]]))</f>
        <v>10.394444444444444</v>
      </c>
      <c r="U48" s="13">
        <f>IF(TBL_PHV[[#This Row],[Sitzgröße berechnet]]="","",TBL_PHV[[#This Row],[Größe]]-TBL_PHV[[#This Row],[Sitzgröße berechnet]])</f>
        <v>79.5</v>
      </c>
      <c r="V48" s="14">
        <f>IF(TBL_PHV[[#This Row],[Gewicht]]="","",TBL_PHV[[#This Row],[Gewicht]]/(TBL_PHV[[#This Row],[Größe]]/100)^2)</f>
        <v>15.462265662554076</v>
      </c>
      <c r="W48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12.866743526758087</v>
      </c>
      <c r="X48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-2.472299082313643</v>
      </c>
      <c r="Y48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 bis -1.5</v>
      </c>
    </row>
    <row r="49" spans="1:25" x14ac:dyDescent="0.25">
      <c r="A49">
        <v>52</v>
      </c>
      <c r="B49" s="8" t="s">
        <v>138</v>
      </c>
      <c r="C49" s="8" t="s">
        <v>139</v>
      </c>
      <c r="D49" s="8" t="str">
        <f>_xlfn.TEXTJOIN(" ",TRUE,TBL_PHV[[#This Row],[Vorname]],TBL_PHV[[#This Row],[Nachname]])</f>
        <v xml:space="preserve">Nick Fahrendorf </v>
      </c>
      <c r="E49" s="9">
        <v>40257</v>
      </c>
      <c r="F49" s="9">
        <v>44569</v>
      </c>
      <c r="G49" s="9" t="s">
        <v>35</v>
      </c>
      <c r="H49" s="9" t="s">
        <v>36</v>
      </c>
      <c r="I49" s="16" t="s">
        <v>54</v>
      </c>
      <c r="J49" s="16"/>
      <c r="K49" s="10" t="s">
        <v>38</v>
      </c>
      <c r="L49" s="11">
        <v>3.5</v>
      </c>
      <c r="M49" s="12">
        <v>163</v>
      </c>
      <c r="N49" s="11">
        <v>122.5</v>
      </c>
      <c r="O49" s="11">
        <v>55.8</v>
      </c>
      <c r="P49" s="11">
        <v>168.5</v>
      </c>
      <c r="Q49" s="11">
        <v>178</v>
      </c>
      <c r="R49" s="11">
        <v>179</v>
      </c>
      <c r="S49" s="13">
        <f>IF(TBL_PHV[[#This Row],[Sitzgröße gemessen]]="","",TBL_PHV[[#This Row],[Sitzgröße gemessen]]-$S$3)</f>
        <v>77.5</v>
      </c>
      <c r="T49" s="14">
        <f>IF(TBL_PHV[[#This Row],[Testdatum]]="","",YEARFRAC(TBL_PHV[[#This Row],[Geburtsdatum]],TBL_PHV[[#This Row],[Testdatum]]))</f>
        <v>11.8</v>
      </c>
      <c r="U49" s="13">
        <f>IF(TBL_PHV[[#This Row],[Sitzgröße berechnet]]="","",TBL_PHV[[#This Row],[Größe]]-TBL_PHV[[#This Row],[Sitzgröße berechnet]])</f>
        <v>85.5</v>
      </c>
      <c r="V49" s="14">
        <f>IF(TBL_PHV[[#This Row],[Gewicht]]="","",TBL_PHV[[#This Row],[Gewicht]]/(TBL_PHV[[#This Row],[Größe]]/100)^2)</f>
        <v>21.00191953027965</v>
      </c>
      <c r="W49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13.535756887116566</v>
      </c>
      <c r="X49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-1.7357568871165645</v>
      </c>
      <c r="Y49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 bis -1.5</v>
      </c>
    </row>
    <row r="50" spans="1:25" x14ac:dyDescent="0.25">
      <c r="A50">
        <v>53</v>
      </c>
      <c r="B50" s="8" t="s">
        <v>140</v>
      </c>
      <c r="C50" s="8" t="s">
        <v>141</v>
      </c>
      <c r="D50" s="8" t="str">
        <f>_xlfn.TEXTJOIN(" ",TRUE,TBL_PHV[[#This Row],[Vorname]],TBL_PHV[[#This Row],[Nachname]])</f>
        <v xml:space="preserve">Jonathan Streich </v>
      </c>
      <c r="E50" s="9">
        <v>40379</v>
      </c>
      <c r="F50" s="9">
        <v>44569</v>
      </c>
      <c r="G50" s="9" t="s">
        <v>35</v>
      </c>
      <c r="H50" s="9" t="s">
        <v>36</v>
      </c>
      <c r="I50" s="16" t="s">
        <v>54</v>
      </c>
      <c r="J50" s="16"/>
      <c r="K50" s="10" t="s">
        <v>38</v>
      </c>
      <c r="L50" s="11">
        <v>3</v>
      </c>
      <c r="M50" s="12">
        <v>138.5</v>
      </c>
      <c r="N50" s="11">
        <v>114.5</v>
      </c>
      <c r="O50" s="11">
        <v>32.9</v>
      </c>
      <c r="P50" s="11">
        <v>134</v>
      </c>
      <c r="Q50" s="11">
        <v>160</v>
      </c>
      <c r="R50" s="11">
        <v>169</v>
      </c>
      <c r="S50" s="13">
        <f>IF(TBL_PHV[[#This Row],[Sitzgröße gemessen]]="","",TBL_PHV[[#This Row],[Sitzgröße gemessen]]-$S$3)</f>
        <v>69.5</v>
      </c>
      <c r="T50" s="14">
        <f>IF(TBL_PHV[[#This Row],[Testdatum]]="","",YEARFRAC(TBL_PHV[[#This Row],[Geburtsdatum]],TBL_PHV[[#This Row],[Testdatum]]))</f>
        <v>11.466666666666667</v>
      </c>
      <c r="U50" s="13">
        <f>IF(TBL_PHV[[#This Row],[Sitzgröße berechnet]]="","",TBL_PHV[[#This Row],[Größe]]-TBL_PHV[[#This Row],[Sitzgröße berechnet]])</f>
        <v>69</v>
      </c>
      <c r="V50" s="14">
        <f>IF(TBL_PHV[[#This Row],[Gewicht]]="","",TBL_PHV[[#This Row],[Gewicht]]/(TBL_PHV[[#This Row],[Größe]]/100)^2)</f>
        <v>17.15127266092351</v>
      </c>
      <c r="W50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14.424686503730445</v>
      </c>
      <c r="X50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-2.9580198370637794</v>
      </c>
      <c r="Y50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51" spans="1:25" x14ac:dyDescent="0.25">
      <c r="A51">
        <v>54</v>
      </c>
      <c r="B51" s="8" t="s">
        <v>142</v>
      </c>
      <c r="C51" s="8" t="s">
        <v>143</v>
      </c>
      <c r="D51" s="8" t="str">
        <f>_xlfn.TEXTJOIN(" ",TRUE,TBL_PHV[[#This Row],[Vorname]],TBL_PHV[[#This Row],[Nachname]])</f>
        <v>Aras Virakas</v>
      </c>
      <c r="E51" s="9">
        <v>40437</v>
      </c>
      <c r="F51" s="9">
        <v>44569</v>
      </c>
      <c r="G51" s="9" t="s">
        <v>35</v>
      </c>
      <c r="H51" s="9" t="s">
        <v>36</v>
      </c>
      <c r="I51" s="16" t="s">
        <v>54</v>
      </c>
      <c r="J51" s="16"/>
      <c r="K51" s="10" t="s">
        <v>38</v>
      </c>
      <c r="L51" s="11">
        <v>6</v>
      </c>
      <c r="M51" s="12">
        <v>149</v>
      </c>
      <c r="N51" s="11">
        <v>118</v>
      </c>
      <c r="O51" s="11">
        <v>34.5</v>
      </c>
      <c r="P51" s="11">
        <v>144.5</v>
      </c>
      <c r="Q51" s="11">
        <v>168</v>
      </c>
      <c r="R51" s="11">
        <v>195</v>
      </c>
      <c r="S51" s="13">
        <f>IF(TBL_PHV[[#This Row],[Sitzgröße gemessen]]="","",TBL_PHV[[#This Row],[Sitzgröße gemessen]]-$S$3)</f>
        <v>73</v>
      </c>
      <c r="T51" s="14">
        <f>IF(TBL_PHV[[#This Row],[Testdatum]]="","",YEARFRAC(TBL_PHV[[#This Row],[Geburtsdatum]],TBL_PHV[[#This Row],[Testdatum]]))</f>
        <v>11.311111111111112</v>
      </c>
      <c r="U51" s="13">
        <f>IF(TBL_PHV[[#This Row],[Sitzgröße berechnet]]="","",TBL_PHV[[#This Row],[Größe]]-TBL_PHV[[#This Row],[Sitzgröße berechnet]])</f>
        <v>76</v>
      </c>
      <c r="V51" s="14">
        <f>IF(TBL_PHV[[#This Row],[Gewicht]]="","",TBL_PHV[[#This Row],[Gewicht]]/(TBL_PHV[[#This Row],[Größe]]/100)^2)</f>
        <v>15.539840547723076</v>
      </c>
      <c r="W51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13.985272057867265</v>
      </c>
      <c r="X51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-2.6741609467561527</v>
      </c>
      <c r="Y51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52" spans="1:25" x14ac:dyDescent="0.25">
      <c r="A52">
        <v>55</v>
      </c>
      <c r="B52" s="8" t="s">
        <v>142</v>
      </c>
      <c r="C52" s="8" t="s">
        <v>144</v>
      </c>
      <c r="D52" s="8" t="str">
        <f>_xlfn.TEXTJOIN(" ",TRUE,TBL_PHV[[#This Row],[Vorname]],TBL_PHV[[#This Row],[Nachname]])</f>
        <v>Vejas Virakas</v>
      </c>
      <c r="E52" s="9">
        <v>40437</v>
      </c>
      <c r="F52" s="9">
        <v>44569</v>
      </c>
      <c r="G52" s="9" t="s">
        <v>35</v>
      </c>
      <c r="H52" s="9" t="s">
        <v>36</v>
      </c>
      <c r="I52" s="16" t="s">
        <v>54</v>
      </c>
      <c r="J52" s="16"/>
      <c r="K52" s="10" t="s">
        <v>38</v>
      </c>
      <c r="L52" s="11">
        <v>6</v>
      </c>
      <c r="M52" s="12">
        <v>145.5</v>
      </c>
      <c r="N52" s="11">
        <v>114.5</v>
      </c>
      <c r="O52" s="11">
        <v>34.5</v>
      </c>
      <c r="P52" s="11">
        <v>145.5</v>
      </c>
      <c r="Q52" s="11">
        <v>168</v>
      </c>
      <c r="R52" s="11">
        <v>195</v>
      </c>
      <c r="S52" s="13">
        <f>IF(TBL_PHV[[#This Row],[Sitzgröße gemessen]]="","",TBL_PHV[[#This Row],[Sitzgröße gemessen]]-$S$3)</f>
        <v>69.5</v>
      </c>
      <c r="T52" s="14">
        <f>IF(TBL_PHV[[#This Row],[Testdatum]]="","",YEARFRAC(TBL_PHV[[#This Row],[Geburtsdatum]],TBL_PHV[[#This Row],[Testdatum]]))</f>
        <v>11.311111111111112</v>
      </c>
      <c r="U52" s="13">
        <f>IF(TBL_PHV[[#This Row],[Sitzgröße berechnet]]="","",TBL_PHV[[#This Row],[Größe]]-TBL_PHV[[#This Row],[Sitzgröße berechnet]])</f>
        <v>76</v>
      </c>
      <c r="V52" s="14">
        <f>IF(TBL_PHV[[#This Row],[Gewicht]]="","",TBL_PHV[[#This Row],[Gewicht]]/(TBL_PHV[[#This Row],[Größe]]/100)^2)</f>
        <v>16.296453749955713</v>
      </c>
      <c r="W52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14.330212349140893</v>
      </c>
      <c r="X52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-3.0191012380297821</v>
      </c>
      <c r="Y52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53" spans="1:25" x14ac:dyDescent="0.25">
      <c r="A53">
        <v>56</v>
      </c>
      <c r="B53" s="8" t="s">
        <v>145</v>
      </c>
      <c r="C53" s="8" t="s">
        <v>146</v>
      </c>
      <c r="D53" s="8" t="str">
        <f>_xlfn.TEXTJOIN(" ",TRUE,TBL_PHV[[#This Row],[Vorname]],TBL_PHV[[#This Row],[Nachname]])</f>
        <v>Rayan Bayoudh</v>
      </c>
      <c r="E53" s="9">
        <v>40263</v>
      </c>
      <c r="F53" s="9">
        <v>44569</v>
      </c>
      <c r="G53" s="9" t="s">
        <v>35</v>
      </c>
      <c r="H53" s="9" t="s">
        <v>36</v>
      </c>
      <c r="I53" s="16" t="s">
        <v>54</v>
      </c>
      <c r="J53" s="16"/>
      <c r="K53" s="10" t="s">
        <v>38</v>
      </c>
      <c r="L53" s="11">
        <v>3</v>
      </c>
      <c r="M53" s="12">
        <v>155</v>
      </c>
      <c r="N53" s="11">
        <v>119</v>
      </c>
      <c r="O53" s="11">
        <v>49.5</v>
      </c>
      <c r="P53" s="11">
        <v>155</v>
      </c>
      <c r="Q53" s="11">
        <v>172</v>
      </c>
      <c r="R53" s="11">
        <v>184</v>
      </c>
      <c r="S53" s="13">
        <f>IF(TBL_PHV[[#This Row],[Sitzgröße gemessen]]="","",TBL_PHV[[#This Row],[Sitzgröße gemessen]]-$S$3)</f>
        <v>74</v>
      </c>
      <c r="T53" s="14">
        <f>IF(TBL_PHV[[#This Row],[Testdatum]]="","",YEARFRAC(TBL_PHV[[#This Row],[Geburtsdatum]],TBL_PHV[[#This Row],[Testdatum]]))</f>
        <v>11.783333333333333</v>
      </c>
      <c r="U53" s="13">
        <f>IF(TBL_PHV[[#This Row],[Sitzgröße berechnet]]="","",TBL_PHV[[#This Row],[Größe]]-TBL_PHV[[#This Row],[Sitzgröße berechnet]])</f>
        <v>81</v>
      </c>
      <c r="V53" s="14">
        <f>IF(TBL_PHV[[#This Row],[Gewicht]]="","",TBL_PHV[[#This Row],[Gewicht]]/(TBL_PHV[[#This Row],[Größe]]/100)^2)</f>
        <v>20.603537981269508</v>
      </c>
      <c r="W53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13.959335726344085</v>
      </c>
      <c r="X53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-2.1760023930107519</v>
      </c>
      <c r="Y53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 bis -1.5</v>
      </c>
    </row>
    <row r="54" spans="1:25" x14ac:dyDescent="0.25">
      <c r="A54">
        <v>32</v>
      </c>
      <c r="B54" s="8" t="s">
        <v>99</v>
      </c>
      <c r="C54" s="8" t="s">
        <v>100</v>
      </c>
      <c r="D54" s="8" t="str">
        <f>_xlfn.TEXTJOIN(" ",TRUE,TBL_PHV[[#This Row],[Vorname]],TBL_PHV[[#This Row],[Nachname]])</f>
        <v>Madita Loch</v>
      </c>
      <c r="E54" s="9">
        <v>40760</v>
      </c>
      <c r="F54" s="9">
        <v>44569</v>
      </c>
      <c r="G54" s="9" t="s">
        <v>35</v>
      </c>
      <c r="H54" s="9" t="s">
        <v>36</v>
      </c>
      <c r="I54" s="16" t="s">
        <v>101</v>
      </c>
      <c r="J54" s="16"/>
      <c r="K54" s="10" t="s">
        <v>55</v>
      </c>
      <c r="L54" s="11">
        <v>2</v>
      </c>
      <c r="M54" s="12">
        <v>143.5</v>
      </c>
      <c r="N54" s="11">
        <v>118.5</v>
      </c>
      <c r="O54" s="11">
        <v>42</v>
      </c>
      <c r="P54" s="11">
        <v>141.5</v>
      </c>
      <c r="Q54" s="11">
        <v>175</v>
      </c>
      <c r="R54" s="11">
        <v>190</v>
      </c>
      <c r="S54" s="13">
        <f>IF(TBL_PHV[[#This Row],[Sitzgröße gemessen]]="","",TBL_PHV[[#This Row],[Sitzgröße gemessen]]-$S$3)</f>
        <v>73.5</v>
      </c>
      <c r="T54" s="14">
        <f>IF(TBL_PHV[[#This Row],[Testdatum]]="","",YEARFRAC(TBL_PHV[[#This Row],[Geburtsdatum]],TBL_PHV[[#This Row],[Testdatum]]))</f>
        <v>10.425000000000001</v>
      </c>
      <c r="U54" s="13">
        <f>IF(TBL_PHV[[#This Row],[Sitzgröße berechnet]]="","",TBL_PHV[[#This Row],[Größe]]-TBL_PHV[[#This Row],[Sitzgröße berechnet]])</f>
        <v>70</v>
      </c>
      <c r="V54" s="14">
        <f>IF(TBL_PHV[[#This Row],[Gewicht]]="","",TBL_PHV[[#This Row],[Gewicht]]/(TBL_PHV[[#This Row],[Größe]]/100)^2)</f>
        <v>20.396022775558766</v>
      </c>
      <c r="W54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11.663863306402439</v>
      </c>
      <c r="X54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-1.2388633064024379</v>
      </c>
      <c r="Y54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55" spans="1:25" x14ac:dyDescent="0.25">
      <c r="A55">
        <v>33</v>
      </c>
      <c r="B55" s="8" t="s">
        <v>102</v>
      </c>
      <c r="C55" s="8" t="s">
        <v>103</v>
      </c>
      <c r="D55" s="8" t="str">
        <f>_xlfn.TEXTJOIN(" ",TRUE,TBL_PHV[[#This Row],[Vorname]],TBL_PHV[[#This Row],[Nachname]])</f>
        <v>Friederike Jesse</v>
      </c>
      <c r="E55" s="9">
        <v>40804</v>
      </c>
      <c r="F55" s="9">
        <v>44569</v>
      </c>
      <c r="G55" s="9" t="s">
        <v>35</v>
      </c>
      <c r="H55" s="9" t="s">
        <v>36</v>
      </c>
      <c r="I55" s="16" t="s">
        <v>101</v>
      </c>
      <c r="J55" s="16"/>
      <c r="K55" s="10" t="s">
        <v>55</v>
      </c>
      <c r="L55" s="11">
        <v>2</v>
      </c>
      <c r="M55" s="12">
        <v>156</v>
      </c>
      <c r="N55" s="11">
        <v>122.5</v>
      </c>
      <c r="O55" s="11">
        <v>42.5</v>
      </c>
      <c r="P55" s="11">
        <v>152</v>
      </c>
      <c r="Q55" s="11">
        <v>168</v>
      </c>
      <c r="R55" s="11">
        <v>188</v>
      </c>
      <c r="S55" s="13">
        <f>IF(TBL_PHV[[#This Row],[Sitzgröße gemessen]]="","",TBL_PHV[[#This Row],[Sitzgröße gemessen]]-$S$3)</f>
        <v>77.5</v>
      </c>
      <c r="T55" s="14">
        <f>IF(TBL_PHV[[#This Row],[Testdatum]]="","",YEARFRAC(TBL_PHV[[#This Row],[Geburtsdatum]],TBL_PHV[[#This Row],[Testdatum]]))</f>
        <v>10.305555555555555</v>
      </c>
      <c r="U55" s="13">
        <f>IF(TBL_PHV[[#This Row],[Sitzgröße berechnet]]="","",TBL_PHV[[#This Row],[Größe]]-TBL_PHV[[#This Row],[Sitzgröße berechnet]])</f>
        <v>78.5</v>
      </c>
      <c r="V55" s="14">
        <f>IF(TBL_PHV[[#This Row],[Gewicht]]="","",TBL_PHV[[#This Row],[Gewicht]]/(TBL_PHV[[#This Row],[Größe]]/100)^2)</f>
        <v>17.463839579224192</v>
      </c>
      <c r="W55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11.160048960470085</v>
      </c>
      <c r="X55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-0.85449340491452919</v>
      </c>
      <c r="Y55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56" spans="1:25" x14ac:dyDescent="0.25">
      <c r="A56">
        <v>34</v>
      </c>
      <c r="B56" s="8" t="s">
        <v>104</v>
      </c>
      <c r="C56" s="8" t="s">
        <v>105</v>
      </c>
      <c r="D56" s="8" t="str">
        <f>_xlfn.TEXTJOIN(" ",TRUE,TBL_PHV[[#This Row],[Vorname]],TBL_PHV[[#This Row],[Nachname]])</f>
        <v>Paula Bungardt</v>
      </c>
      <c r="E56" s="9">
        <v>40242</v>
      </c>
      <c r="F56" s="9">
        <v>44569</v>
      </c>
      <c r="G56" s="9" t="s">
        <v>35</v>
      </c>
      <c r="H56" s="9" t="s">
        <v>36</v>
      </c>
      <c r="I56" s="16" t="s">
        <v>101</v>
      </c>
      <c r="J56" s="16"/>
      <c r="K56" s="10" t="s">
        <v>55</v>
      </c>
      <c r="L56" s="11">
        <v>1</v>
      </c>
      <c r="M56" s="12">
        <v>165.5</v>
      </c>
      <c r="N56" s="11">
        <v>123.5</v>
      </c>
      <c r="O56" s="11">
        <v>52.5</v>
      </c>
      <c r="P56" s="11">
        <v>163</v>
      </c>
      <c r="Q56" s="11">
        <v>173</v>
      </c>
      <c r="R56" s="11">
        <v>186</v>
      </c>
      <c r="S56" s="13">
        <f>IF(TBL_PHV[[#This Row],[Sitzgröße gemessen]]="","",TBL_PHV[[#This Row],[Sitzgröße gemessen]]-$S$3)</f>
        <v>78.5</v>
      </c>
      <c r="T56" s="14">
        <f>IF(TBL_PHV[[#This Row],[Testdatum]]="","",YEARFRAC(TBL_PHV[[#This Row],[Geburtsdatum]],TBL_PHV[[#This Row],[Testdatum]]))</f>
        <v>11.841666666666667</v>
      </c>
      <c r="U56" s="13">
        <f>IF(TBL_PHV[[#This Row],[Sitzgröße berechnet]]="","",TBL_PHV[[#This Row],[Größe]]-TBL_PHV[[#This Row],[Sitzgröße berechnet]])</f>
        <v>87</v>
      </c>
      <c r="V56" s="14">
        <f>IF(TBL_PHV[[#This Row],[Gewicht]]="","",TBL_PHV[[#This Row],[Gewicht]]/(TBL_PHV[[#This Row],[Größe]]/100)^2)</f>
        <v>19.167404459616101</v>
      </c>
      <c r="W56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11.448304260662136</v>
      </c>
      <c r="X56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0.39336240600453154</v>
      </c>
      <c r="Y56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-0.5 bis 0.5</v>
      </c>
    </row>
    <row r="57" spans="1:25" x14ac:dyDescent="0.25">
      <c r="A57">
        <v>35</v>
      </c>
      <c r="B57" s="8" t="s">
        <v>106</v>
      </c>
      <c r="C57" s="8" t="s">
        <v>107</v>
      </c>
      <c r="D57" s="8" t="str">
        <f>_xlfn.TEXTJOIN(" ",TRUE,TBL_PHV[[#This Row],[Vorname]],TBL_PHV[[#This Row],[Nachname]])</f>
        <v>Anna Musial</v>
      </c>
      <c r="E57" s="9">
        <v>40404</v>
      </c>
      <c r="F57" s="9">
        <v>44569</v>
      </c>
      <c r="G57" s="9" t="s">
        <v>35</v>
      </c>
      <c r="H57" s="9" t="s">
        <v>36</v>
      </c>
      <c r="I57" s="16" t="s">
        <v>101</v>
      </c>
      <c r="J57" s="16"/>
      <c r="K57" s="10" t="s">
        <v>55</v>
      </c>
      <c r="L57" s="11">
        <v>1.5</v>
      </c>
      <c r="M57" s="12">
        <v>164.5</v>
      </c>
      <c r="N57" s="11">
        <v>131</v>
      </c>
      <c r="O57" s="11">
        <v>56.9</v>
      </c>
      <c r="P57" s="11">
        <v>161</v>
      </c>
      <c r="Q57" s="11">
        <v>172</v>
      </c>
      <c r="R57" s="11">
        <v>173</v>
      </c>
      <c r="S57" s="13">
        <f>IF(TBL_PHV[[#This Row],[Sitzgröße gemessen]]="","",TBL_PHV[[#This Row],[Sitzgröße gemessen]]-$S$3)</f>
        <v>86</v>
      </c>
      <c r="T57" s="14">
        <f>IF(TBL_PHV[[#This Row],[Testdatum]]="","",YEARFRAC(TBL_PHV[[#This Row],[Geburtsdatum]],TBL_PHV[[#This Row],[Testdatum]]))</f>
        <v>11.4</v>
      </c>
      <c r="U57" s="13">
        <f>IF(TBL_PHV[[#This Row],[Sitzgröße berechnet]]="","",TBL_PHV[[#This Row],[Größe]]-TBL_PHV[[#This Row],[Sitzgröße berechnet]])</f>
        <v>78.5</v>
      </c>
      <c r="V57" s="14">
        <f>IF(TBL_PHV[[#This Row],[Gewicht]]="","",TBL_PHV[[#This Row],[Gewicht]]/(TBL_PHV[[#This Row],[Größe]]/100)^2)</f>
        <v>21.027152372945558</v>
      </c>
      <c r="W57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10.873320701276596</v>
      </c>
      <c r="X57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0.52667929872340435</v>
      </c>
      <c r="Y57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0.5 bis 1.5</v>
      </c>
    </row>
    <row r="58" spans="1:25" x14ac:dyDescent="0.25">
      <c r="A58">
        <v>63</v>
      </c>
      <c r="B58" s="8" t="s">
        <v>158</v>
      </c>
      <c r="C58" s="8" t="s">
        <v>159</v>
      </c>
      <c r="D58" s="8" t="str">
        <f>_xlfn.TEXTJOIN(" ",TRUE,TBL_PHV[[#This Row],[Vorname]],TBL_PHV[[#This Row],[Nachname]])</f>
        <v>Leon Mertes</v>
      </c>
      <c r="E58" s="9">
        <v>40811</v>
      </c>
      <c r="F58" s="9">
        <v>44569</v>
      </c>
      <c r="G58" s="9" t="s">
        <v>35</v>
      </c>
      <c r="H58" s="9" t="s">
        <v>36</v>
      </c>
      <c r="I58" s="16" t="s">
        <v>101</v>
      </c>
      <c r="J58" s="16"/>
      <c r="K58" s="10" t="s">
        <v>38</v>
      </c>
      <c r="L58" s="11">
        <v>0.5</v>
      </c>
      <c r="M58" s="12">
        <v>139</v>
      </c>
      <c r="N58" s="11">
        <v>114</v>
      </c>
      <c r="O58" s="11">
        <v>39.4</v>
      </c>
      <c r="P58" s="11">
        <v>141.5</v>
      </c>
      <c r="Q58" s="11">
        <v>165</v>
      </c>
      <c r="R58" s="11">
        <v>185</v>
      </c>
      <c r="S58" s="13">
        <f>IF(TBL_PHV[[#This Row],[Sitzgröße gemessen]]="","",TBL_PHV[[#This Row],[Sitzgröße gemessen]]-$S$3)</f>
        <v>69</v>
      </c>
      <c r="T58" s="14">
        <f>IF(TBL_PHV[[#This Row],[Testdatum]]="","",YEARFRAC(TBL_PHV[[#This Row],[Geburtsdatum]],TBL_PHV[[#This Row],[Testdatum]]))</f>
        <v>10.286111111111111</v>
      </c>
      <c r="U58" s="13">
        <f>IF(TBL_PHV[[#This Row],[Sitzgröße berechnet]]="","",TBL_PHV[[#This Row],[Größe]]-TBL_PHV[[#This Row],[Sitzgröße berechnet]])</f>
        <v>70</v>
      </c>
      <c r="V58" s="14">
        <f>IF(TBL_PHV[[#This Row],[Gewicht]]="","",TBL_PHV[[#This Row],[Gewicht]]/(TBL_PHV[[#This Row],[Größe]]/100)^2)</f>
        <v>20.392319238134675</v>
      </c>
      <c r="W58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13.640382618745004</v>
      </c>
      <c r="X58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-3.3542715076338934</v>
      </c>
      <c r="Y58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59" spans="1:25" x14ac:dyDescent="0.25">
      <c r="A59">
        <v>64</v>
      </c>
      <c r="B59" s="8" t="s">
        <v>160</v>
      </c>
      <c r="C59" s="8" t="s">
        <v>80</v>
      </c>
      <c r="D59" s="8" t="str">
        <f>_xlfn.TEXTJOIN(" ",TRUE,TBL_PHV[[#This Row],[Vorname]],TBL_PHV[[#This Row],[Nachname]])</f>
        <v>Benjamin Steinkamp</v>
      </c>
      <c r="E59" s="9">
        <v>40482</v>
      </c>
      <c r="F59" s="9">
        <v>44569</v>
      </c>
      <c r="G59" s="9" t="s">
        <v>35</v>
      </c>
      <c r="H59" s="9" t="s">
        <v>36</v>
      </c>
      <c r="I59" s="16" t="s">
        <v>101</v>
      </c>
      <c r="J59" s="16"/>
      <c r="K59" s="10" t="s">
        <v>38</v>
      </c>
      <c r="L59" s="11">
        <v>5.5</v>
      </c>
      <c r="M59" s="12">
        <v>156</v>
      </c>
      <c r="N59" s="11">
        <v>120</v>
      </c>
      <c r="O59" s="11">
        <v>55.1</v>
      </c>
      <c r="P59" s="11">
        <v>153.5</v>
      </c>
      <c r="Q59" s="11">
        <v>170</v>
      </c>
      <c r="R59" s="11">
        <v>175</v>
      </c>
      <c r="S59" s="13">
        <f>IF(TBL_PHV[[#This Row],[Sitzgröße gemessen]]="","",TBL_PHV[[#This Row],[Sitzgröße gemessen]]-$S$3)</f>
        <v>75</v>
      </c>
      <c r="T59" s="14">
        <f>IF(TBL_PHV[[#This Row],[Testdatum]]="","",YEARFRAC(TBL_PHV[[#This Row],[Geburtsdatum]],TBL_PHV[[#This Row],[Testdatum]]))</f>
        <v>11.188888888888888</v>
      </c>
      <c r="U59" s="13">
        <f>IF(TBL_PHV[[#This Row],[Sitzgröße berechnet]]="","",TBL_PHV[[#This Row],[Größe]]-TBL_PHV[[#This Row],[Sitzgröße berechnet]])</f>
        <v>81</v>
      </c>
      <c r="V59" s="14">
        <f>IF(TBL_PHV[[#This Row],[Gewicht]]="","",TBL_PHV[[#This Row],[Gewicht]]/(TBL_PHV[[#This Row],[Größe]]/100)^2)</f>
        <v>22.641354372123601</v>
      </c>
      <c r="W59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13.421982968376069</v>
      </c>
      <c r="X59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-2.2330940794871807</v>
      </c>
      <c r="Y59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 bis -1.5</v>
      </c>
    </row>
    <row r="60" spans="1:25" x14ac:dyDescent="0.25">
      <c r="A60">
        <v>65</v>
      </c>
      <c r="B60" s="8" t="s">
        <v>161</v>
      </c>
      <c r="C60" s="8" t="s">
        <v>162</v>
      </c>
      <c r="D60" s="8" t="str">
        <f>_xlfn.TEXTJOIN(" ",TRUE,TBL_PHV[[#This Row],[Vorname]],TBL_PHV[[#This Row],[Nachname]])</f>
        <v>Damian Franco Lopez</v>
      </c>
      <c r="E60" s="9">
        <v>40832</v>
      </c>
      <c r="F60" s="9">
        <v>44569</v>
      </c>
      <c r="G60" s="9" t="s">
        <v>35</v>
      </c>
      <c r="H60" s="9" t="s">
        <v>36</v>
      </c>
      <c r="I60" s="16" t="s">
        <v>101</v>
      </c>
      <c r="J60" s="16"/>
      <c r="K60" s="10" t="s">
        <v>38</v>
      </c>
      <c r="L60" s="11">
        <v>2.5</v>
      </c>
      <c r="M60" s="12">
        <v>137.5</v>
      </c>
      <c r="N60" s="11">
        <v>110</v>
      </c>
      <c r="O60" s="11">
        <v>35.9</v>
      </c>
      <c r="P60" s="11">
        <v>136</v>
      </c>
      <c r="Q60" s="11">
        <v>168</v>
      </c>
      <c r="R60" s="11">
        <v>183</v>
      </c>
      <c r="S60" s="13">
        <f>IF(TBL_PHV[[#This Row],[Sitzgröße gemessen]]="","",TBL_PHV[[#This Row],[Sitzgröße gemessen]]-$S$3)</f>
        <v>65</v>
      </c>
      <c r="T60" s="14">
        <f>IF(TBL_PHV[[#This Row],[Testdatum]]="","",YEARFRAC(TBL_PHV[[#This Row],[Geburtsdatum]],TBL_PHV[[#This Row],[Testdatum]]))</f>
        <v>10.227777777777778</v>
      </c>
      <c r="U60" s="13">
        <f>IF(TBL_PHV[[#This Row],[Sitzgröße berechnet]]="","",TBL_PHV[[#This Row],[Größe]]-TBL_PHV[[#This Row],[Sitzgröße berechnet]])</f>
        <v>72.5</v>
      </c>
      <c r="V60" s="14">
        <f>IF(TBL_PHV[[#This Row],[Gewicht]]="","",TBL_PHV[[#This Row],[Gewicht]]/(TBL_PHV[[#This Row],[Größe]]/100)^2)</f>
        <v>18.988429752066114</v>
      </c>
      <c r="W60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14.02511312247475</v>
      </c>
      <c r="X60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-3.7973353446969718</v>
      </c>
      <c r="Y60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61" spans="1:25" x14ac:dyDescent="0.25">
      <c r="A61">
        <v>105</v>
      </c>
      <c r="B61" s="8" t="s">
        <v>230</v>
      </c>
      <c r="C61" s="8" t="s">
        <v>231</v>
      </c>
      <c r="D61" s="8" t="str">
        <f>_xlfn.TEXTJOIN(" ",TRUE,TBL_PHV[[#This Row],[Vorname]],TBL_PHV[[#This Row],[Nachname]])</f>
        <v>Johar Ruben Idris</v>
      </c>
      <c r="E61" s="9">
        <v>40619</v>
      </c>
      <c r="F61" s="9">
        <v>44569</v>
      </c>
      <c r="G61" s="9" t="s">
        <v>35</v>
      </c>
      <c r="H61" s="9" t="s">
        <v>36</v>
      </c>
      <c r="I61" s="16" t="s">
        <v>101</v>
      </c>
      <c r="J61" s="16"/>
      <c r="K61" s="10" t="s">
        <v>38</v>
      </c>
      <c r="L61" s="11">
        <v>4</v>
      </c>
      <c r="M61" s="12">
        <v>151.5</v>
      </c>
      <c r="N61" s="11">
        <v>117.5</v>
      </c>
      <c r="O61" s="11">
        <v>36.5</v>
      </c>
      <c r="P61" s="11">
        <v>150</v>
      </c>
      <c r="Q61" s="11">
        <v>170</v>
      </c>
      <c r="R61" s="11">
        <v>185</v>
      </c>
      <c r="S61" s="13">
        <f>IF(TBL_PHV[[#This Row],[Sitzgröße gemessen]]="","",TBL_PHV[[#This Row],[Sitzgröße gemessen]]-$S$3)</f>
        <v>72.5</v>
      </c>
      <c r="T61" s="14">
        <f>IF(TBL_PHV[[#This Row],[Testdatum]]="","",YEARFRAC(TBL_PHV[[#This Row],[Geburtsdatum]],TBL_PHV[[#This Row],[Testdatum]]))</f>
        <v>10.808333333333334</v>
      </c>
      <c r="U61" s="13">
        <f>IF(TBL_PHV[[#This Row],[Sitzgröße berechnet]]="","",TBL_PHV[[#This Row],[Größe]]-TBL_PHV[[#This Row],[Sitzgröße berechnet]])</f>
        <v>79</v>
      </c>
      <c r="V61" s="14">
        <f>IF(TBL_PHV[[#This Row],[Gewicht]]="","",TBL_PHV[[#This Row],[Gewicht]]/(TBL_PHV[[#This Row],[Größe]]/100)^2)</f>
        <v>15.902580357045606</v>
      </c>
      <c r="W61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13.70660705519802</v>
      </c>
      <c r="X61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-2.8982737218646877</v>
      </c>
      <c r="Y61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</v>
      </c>
    </row>
    <row r="62" spans="1:25" x14ac:dyDescent="0.25">
      <c r="A62">
        <v>48</v>
      </c>
      <c r="B62" s="8" t="s">
        <v>130</v>
      </c>
      <c r="C62" s="8" t="s">
        <v>131</v>
      </c>
      <c r="D62" s="8" t="str">
        <f>_xlfn.TEXTJOIN(" ",TRUE,TBL_PHV[[#This Row],[Vorname]],TBL_PHV[[#This Row],[Nachname]])</f>
        <v>Emilia Scholz</v>
      </c>
      <c r="E62" s="9">
        <v>40077</v>
      </c>
      <c r="F62" s="9">
        <v>44569</v>
      </c>
      <c r="G62" s="9" t="s">
        <v>35</v>
      </c>
      <c r="H62" s="9" t="s">
        <v>36</v>
      </c>
      <c r="I62" s="16" t="s">
        <v>132</v>
      </c>
      <c r="J62" s="16"/>
      <c r="K62" s="10" t="s">
        <v>55</v>
      </c>
      <c r="L62" s="11">
        <v>2.5</v>
      </c>
      <c r="M62" s="12">
        <v>165.5</v>
      </c>
      <c r="N62" s="11">
        <v>124.5</v>
      </c>
      <c r="O62" s="11">
        <v>42.5</v>
      </c>
      <c r="P62" s="11">
        <v>160</v>
      </c>
      <c r="Q62" s="11">
        <v>173</v>
      </c>
      <c r="R62" s="11">
        <v>186</v>
      </c>
      <c r="S62" s="13">
        <f>IF(TBL_PHV[[#This Row],[Sitzgröße gemessen]]="","",TBL_PHV[[#This Row],[Sitzgröße gemessen]]-$S$3)</f>
        <v>79.5</v>
      </c>
      <c r="T62" s="14">
        <f>IF(TBL_PHV[[#This Row],[Testdatum]]="","",YEARFRAC(TBL_PHV[[#This Row],[Geburtsdatum]],TBL_PHV[[#This Row],[Testdatum]]))</f>
        <v>12.297222222222222</v>
      </c>
      <c r="U62" s="13">
        <f>IF(TBL_PHV[[#This Row],[Sitzgröße berechnet]]="","",TBL_PHV[[#This Row],[Größe]]-TBL_PHV[[#This Row],[Sitzgröße berechnet]])</f>
        <v>86</v>
      </c>
      <c r="V62" s="14">
        <f>IF(TBL_PHV[[#This Row],[Gewicht]]="","",TBL_PHV[[#This Row],[Gewicht]]/(TBL_PHV[[#This Row],[Größe]]/100)^2)</f>
        <v>15.516470276832083</v>
      </c>
      <c r="W62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11.763144316964585</v>
      </c>
      <c r="X62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0.53407790525763743</v>
      </c>
      <c r="Y62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0.5 bis 1.5</v>
      </c>
    </row>
    <row r="63" spans="1:25" x14ac:dyDescent="0.25">
      <c r="A63">
        <v>57</v>
      </c>
      <c r="B63" s="8" t="s">
        <v>147</v>
      </c>
      <c r="C63" s="8" t="s">
        <v>148</v>
      </c>
      <c r="D63" s="8" t="str">
        <f>_xlfn.TEXTJOIN(" ",TRUE,TBL_PHV[[#This Row],[Vorname]],TBL_PHV[[#This Row],[Nachname]])</f>
        <v>Mirja Borg</v>
      </c>
      <c r="E63" s="9">
        <v>39493</v>
      </c>
      <c r="F63" s="9">
        <v>44569</v>
      </c>
      <c r="G63" s="9" t="s">
        <v>35</v>
      </c>
      <c r="H63" s="9" t="s">
        <v>36</v>
      </c>
      <c r="I63" s="16" t="s">
        <v>132</v>
      </c>
      <c r="J63" s="16"/>
      <c r="K63" s="10" t="s">
        <v>55</v>
      </c>
      <c r="L63" s="11">
        <v>2.5</v>
      </c>
      <c r="M63" s="12">
        <v>162.5</v>
      </c>
      <c r="N63" s="11">
        <v>126</v>
      </c>
      <c r="O63" s="11">
        <v>54.6</v>
      </c>
      <c r="P63" s="11">
        <v>166</v>
      </c>
      <c r="Q63" s="11">
        <v>172</v>
      </c>
      <c r="R63" s="11">
        <v>175</v>
      </c>
      <c r="S63" s="13">
        <f>IF(TBL_PHV[[#This Row],[Sitzgröße gemessen]]="","",TBL_PHV[[#This Row],[Sitzgröße gemessen]]-$S$3)</f>
        <v>81</v>
      </c>
      <c r="T63" s="14">
        <f>IF(TBL_PHV[[#This Row],[Testdatum]]="","",YEARFRAC(TBL_PHV[[#This Row],[Geburtsdatum]],TBL_PHV[[#This Row],[Testdatum]]))</f>
        <v>13.897222222222222</v>
      </c>
      <c r="U63" s="13">
        <f>IF(TBL_PHV[[#This Row],[Sitzgröße berechnet]]="","",TBL_PHV[[#This Row],[Größe]]-TBL_PHV[[#This Row],[Sitzgröße berechnet]])</f>
        <v>81.5</v>
      </c>
      <c r="V63" s="14">
        <f>IF(TBL_PHV[[#This Row],[Gewicht]]="","",TBL_PHV[[#This Row],[Gewicht]]/(TBL_PHV[[#This Row],[Größe]]/100)^2)</f>
        <v>20.676923076923078</v>
      </c>
      <c r="W63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12.395991692777777</v>
      </c>
      <c r="X63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1.5012305294444444</v>
      </c>
      <c r="Y63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1.5 bis 2.5</v>
      </c>
    </row>
    <row r="64" spans="1:25" x14ac:dyDescent="0.25">
      <c r="A64">
        <v>58</v>
      </c>
      <c r="B64" s="8" t="s">
        <v>149</v>
      </c>
      <c r="C64" s="8" t="s">
        <v>150</v>
      </c>
      <c r="D64" s="8" t="str">
        <f>_xlfn.TEXTJOIN(" ",TRUE,TBL_PHV[[#This Row],[Vorname]],TBL_PHV[[#This Row],[Nachname]])</f>
        <v>Lucy Brun</v>
      </c>
      <c r="E64" s="9">
        <v>39672</v>
      </c>
      <c r="F64" s="9">
        <v>44569</v>
      </c>
      <c r="G64" s="9" t="s">
        <v>35</v>
      </c>
      <c r="H64" s="9" t="s">
        <v>36</v>
      </c>
      <c r="I64" s="16" t="s">
        <v>132</v>
      </c>
      <c r="J64" s="16"/>
      <c r="K64" s="10" t="s">
        <v>55</v>
      </c>
      <c r="L64" s="11">
        <v>4</v>
      </c>
      <c r="M64" s="12">
        <v>172</v>
      </c>
      <c r="N64" s="11">
        <v>132</v>
      </c>
      <c r="O64" s="11">
        <v>53</v>
      </c>
      <c r="P64" s="11">
        <v>164</v>
      </c>
      <c r="Q64" s="11">
        <v>175</v>
      </c>
      <c r="R64" s="11">
        <v>184</v>
      </c>
      <c r="S64" s="13">
        <f>IF(TBL_PHV[[#This Row],[Sitzgröße gemessen]]="","",TBL_PHV[[#This Row],[Sitzgröße gemessen]]-$S$3)</f>
        <v>87</v>
      </c>
      <c r="T64" s="14">
        <f>IF(TBL_PHV[[#This Row],[Testdatum]]="","",YEARFRAC(TBL_PHV[[#This Row],[Geburtsdatum]],TBL_PHV[[#This Row],[Testdatum]]))</f>
        <v>13.405555555555555</v>
      </c>
      <c r="U64" s="13">
        <f>IF(TBL_PHV[[#This Row],[Sitzgröße berechnet]]="","",TBL_PHV[[#This Row],[Größe]]-TBL_PHV[[#This Row],[Sitzgröße berechnet]])</f>
        <v>85</v>
      </c>
      <c r="V64" s="14">
        <f>IF(TBL_PHV[[#This Row],[Gewicht]]="","",TBL_PHV[[#This Row],[Gewicht]]/(TBL_PHV[[#This Row],[Größe]]/100)^2)</f>
        <v>17.915089237425637</v>
      </c>
      <c r="W64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11.588693508139533</v>
      </c>
      <c r="X64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1.8168620474160211</v>
      </c>
      <c r="Y64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1.5 bis 2.5</v>
      </c>
    </row>
    <row r="65" spans="1:25" x14ac:dyDescent="0.25">
      <c r="A65">
        <v>59</v>
      </c>
      <c r="B65" s="8" t="s">
        <v>151</v>
      </c>
      <c r="C65" s="8" t="s">
        <v>152</v>
      </c>
      <c r="D65" s="8" t="str">
        <f>_xlfn.TEXTJOIN(" ",TRUE,TBL_PHV[[#This Row],[Vorname]],TBL_PHV[[#This Row],[Nachname]])</f>
        <v>Lola Gorn</v>
      </c>
      <c r="E65" s="9">
        <v>39559</v>
      </c>
      <c r="F65" s="9">
        <v>44569</v>
      </c>
      <c r="G65" s="9" t="s">
        <v>35</v>
      </c>
      <c r="H65" s="9" t="s">
        <v>36</v>
      </c>
      <c r="I65" s="16" t="s">
        <v>132</v>
      </c>
      <c r="J65" s="16"/>
      <c r="K65" s="10" t="s">
        <v>55</v>
      </c>
      <c r="L65" s="11">
        <v>5</v>
      </c>
      <c r="M65" s="12">
        <v>174</v>
      </c>
      <c r="N65" s="11">
        <v>135.5</v>
      </c>
      <c r="O65" s="11">
        <v>69.599999999999994</v>
      </c>
      <c r="P65" s="11">
        <v>171</v>
      </c>
      <c r="Q65" s="11">
        <v>180</v>
      </c>
      <c r="R65" s="11">
        <v>190</v>
      </c>
      <c r="S65" s="13">
        <f>IF(TBL_PHV[[#This Row],[Sitzgröße gemessen]]="","",TBL_PHV[[#This Row],[Sitzgröße gemessen]]-$S$3)</f>
        <v>90.5</v>
      </c>
      <c r="T65" s="14">
        <f>IF(TBL_PHV[[#This Row],[Testdatum]]="","",YEARFRAC(TBL_PHV[[#This Row],[Geburtsdatum]],TBL_PHV[[#This Row],[Testdatum]]))</f>
        <v>13.713888888888889</v>
      </c>
      <c r="U65" s="13">
        <f>IF(TBL_PHV[[#This Row],[Sitzgröße berechnet]]="","",TBL_PHV[[#This Row],[Größe]]-TBL_PHV[[#This Row],[Sitzgröße berechnet]])</f>
        <v>83.5</v>
      </c>
      <c r="V65" s="14">
        <f>IF(TBL_PHV[[#This Row],[Gewicht]]="","",TBL_PHV[[#This Row],[Gewicht]]/(TBL_PHV[[#This Row],[Größe]]/100)^2)</f>
        <v>22.988505747126435</v>
      </c>
      <c r="W65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11.358987047499999</v>
      </c>
      <c r="X65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2.3549018413888896</v>
      </c>
      <c r="Y65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1.5 bis 2.5</v>
      </c>
    </row>
    <row r="66" spans="1:25" x14ac:dyDescent="0.25">
      <c r="A66">
        <v>60</v>
      </c>
      <c r="B66" s="8" t="s">
        <v>153</v>
      </c>
      <c r="C66" s="8" t="s">
        <v>154</v>
      </c>
      <c r="D66" s="8" t="str">
        <f>_xlfn.TEXTJOIN(" ",TRUE,TBL_PHV[[#This Row],[Vorname]],TBL_PHV[[#This Row],[Nachname]])</f>
        <v>Rosa Kühme</v>
      </c>
      <c r="E66" s="9">
        <v>39542</v>
      </c>
      <c r="F66" s="9">
        <v>44569</v>
      </c>
      <c r="G66" s="9" t="s">
        <v>35</v>
      </c>
      <c r="H66" s="9" t="s">
        <v>36</v>
      </c>
      <c r="I66" s="16" t="s">
        <v>132</v>
      </c>
      <c r="J66" s="16"/>
      <c r="K66" s="10" t="s">
        <v>55</v>
      </c>
      <c r="L66" s="11">
        <v>5</v>
      </c>
      <c r="M66" s="12">
        <v>168</v>
      </c>
      <c r="N66" s="11">
        <v>128</v>
      </c>
      <c r="O66" s="11">
        <v>57.9</v>
      </c>
      <c r="P66" s="11">
        <v>167</v>
      </c>
      <c r="Q66" s="11">
        <v>168</v>
      </c>
      <c r="R66" s="11">
        <v>180</v>
      </c>
      <c r="S66" s="13">
        <f>IF(TBL_PHV[[#This Row],[Sitzgröße gemessen]]="","",TBL_PHV[[#This Row],[Sitzgröße gemessen]]-$S$3)</f>
        <v>83</v>
      </c>
      <c r="T66" s="14">
        <f>IF(TBL_PHV[[#This Row],[Testdatum]]="","",YEARFRAC(TBL_PHV[[#This Row],[Geburtsdatum]],TBL_PHV[[#This Row],[Testdatum]]))</f>
        <v>13.761111111111111</v>
      </c>
      <c r="U66" s="13">
        <f>IF(TBL_PHV[[#This Row],[Sitzgröße berechnet]]="","",TBL_PHV[[#This Row],[Größe]]-TBL_PHV[[#This Row],[Sitzgröße berechnet]])</f>
        <v>85</v>
      </c>
      <c r="V66" s="14">
        <f>IF(TBL_PHV[[#This Row],[Gewicht]]="","",TBL_PHV[[#This Row],[Gewicht]]/(TBL_PHV[[#This Row],[Größe]]/100)^2)</f>
        <v>20.514455782312929</v>
      </c>
      <c r="W66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12.031077113333332</v>
      </c>
      <c r="X66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1.7300339977777797</v>
      </c>
      <c r="Y66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1.5 bis 2.5</v>
      </c>
    </row>
    <row r="67" spans="1:25" x14ac:dyDescent="0.25">
      <c r="A67">
        <v>61</v>
      </c>
      <c r="B67" s="8" t="s">
        <v>136</v>
      </c>
      <c r="C67" s="8" t="s">
        <v>155</v>
      </c>
      <c r="D67" s="8" t="str">
        <f>_xlfn.TEXTJOIN(" ",TRUE,TBL_PHV[[#This Row],[Vorname]],TBL_PHV[[#This Row],[Nachname]])</f>
        <v xml:space="preserve">Luisa Mohr </v>
      </c>
      <c r="E67" s="9">
        <v>39981</v>
      </c>
      <c r="F67" s="9">
        <v>44569</v>
      </c>
      <c r="G67" s="9" t="s">
        <v>35</v>
      </c>
      <c r="H67" s="9" t="s">
        <v>36</v>
      </c>
      <c r="I67" s="16" t="s">
        <v>132</v>
      </c>
      <c r="J67" s="16"/>
      <c r="K67" s="10" t="s">
        <v>55</v>
      </c>
      <c r="L67" s="11">
        <v>3.5</v>
      </c>
      <c r="M67" s="12">
        <v>161.5</v>
      </c>
      <c r="N67" s="11">
        <v>126.5</v>
      </c>
      <c r="O67" s="11">
        <v>41.2</v>
      </c>
      <c r="P67" s="11">
        <v>158</v>
      </c>
      <c r="Q67" s="11">
        <v>180</v>
      </c>
      <c r="R67" s="11">
        <v>192</v>
      </c>
      <c r="S67" s="13">
        <f>IF(TBL_PHV[[#This Row],[Sitzgröße gemessen]]="","",TBL_PHV[[#This Row],[Sitzgröße gemessen]]-$S$3)</f>
        <v>81.5</v>
      </c>
      <c r="T67" s="14">
        <f>IF(TBL_PHV[[#This Row],[Testdatum]]="","",YEARFRAC(TBL_PHV[[#This Row],[Geburtsdatum]],TBL_PHV[[#This Row],[Testdatum]]))</f>
        <v>12.558333333333334</v>
      </c>
      <c r="U67" s="13">
        <f>IF(TBL_PHV[[#This Row],[Sitzgröße berechnet]]="","",TBL_PHV[[#This Row],[Größe]]-TBL_PHV[[#This Row],[Sitzgröße berechnet]])</f>
        <v>80</v>
      </c>
      <c r="V67" s="14">
        <f>IF(TBL_PHV[[#This Row],[Gewicht]]="","",TBL_PHV[[#This Row],[Gewicht]]/(TBL_PHV[[#This Row],[Größe]]/100)^2)</f>
        <v>15.796183228057396</v>
      </c>
      <c r="W67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11.93142428235552</v>
      </c>
      <c r="X67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0.62690905097781302</v>
      </c>
      <c r="Y67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0.5 bis 1.5</v>
      </c>
    </row>
    <row r="68" spans="1:25" x14ac:dyDescent="0.25">
      <c r="A68">
        <v>62</v>
      </c>
      <c r="B68" s="8" t="s">
        <v>156</v>
      </c>
      <c r="C68" s="8" t="s">
        <v>157</v>
      </c>
      <c r="D68" s="8" t="str">
        <f>_xlfn.TEXTJOIN(" ",TRUE,TBL_PHV[[#This Row],[Vorname]],TBL_PHV[[#This Row],[Nachname]])</f>
        <v>Maite Salazar Gahmann</v>
      </c>
      <c r="E68" s="9">
        <v>39776</v>
      </c>
      <c r="F68" s="9">
        <v>44569</v>
      </c>
      <c r="G68" s="9" t="s">
        <v>35</v>
      </c>
      <c r="H68" s="9" t="s">
        <v>36</v>
      </c>
      <c r="I68" s="16" t="s">
        <v>132</v>
      </c>
      <c r="J68" s="16"/>
      <c r="K68" s="10" t="s">
        <v>55</v>
      </c>
      <c r="L68" s="11">
        <v>2.5</v>
      </c>
      <c r="M68" s="12">
        <v>159.5</v>
      </c>
      <c r="N68" s="11">
        <v>121.5</v>
      </c>
      <c r="O68" s="11">
        <v>42.8</v>
      </c>
      <c r="P68" s="11">
        <v>157</v>
      </c>
      <c r="Q68" s="11">
        <v>180</v>
      </c>
      <c r="R68" s="11">
        <v>178</v>
      </c>
      <c r="S68" s="13">
        <f>IF(TBL_PHV[[#This Row],[Sitzgröße gemessen]]="","",TBL_PHV[[#This Row],[Sitzgröße gemessen]]-$S$3)</f>
        <v>76.5</v>
      </c>
      <c r="T68" s="14">
        <f>IF(TBL_PHV[[#This Row],[Testdatum]]="","",YEARFRAC(TBL_PHV[[#This Row],[Geburtsdatum]],TBL_PHV[[#This Row],[Testdatum]]))</f>
        <v>13.122222222222222</v>
      </c>
      <c r="U68" s="13">
        <f>IF(TBL_PHV[[#This Row],[Sitzgröße berechnet]]="","",TBL_PHV[[#This Row],[Größe]]-TBL_PHV[[#This Row],[Sitzgröße berechnet]])</f>
        <v>83</v>
      </c>
      <c r="V68" s="14">
        <f>IF(TBL_PHV[[#This Row],[Gewicht]]="","",TBL_PHV[[#This Row],[Gewicht]]/(TBL_PHV[[#This Row],[Größe]]/100)^2)</f>
        <v>16.823734043494067</v>
      </c>
      <c r="W68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12.47212766113201</v>
      </c>
      <c r="X68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0.65009456109021158</v>
      </c>
      <c r="Y68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0.5 bis 1.5</v>
      </c>
    </row>
    <row r="69" spans="1:25" x14ac:dyDescent="0.25">
      <c r="A69">
        <v>69</v>
      </c>
      <c r="B69" s="8" t="s">
        <v>169</v>
      </c>
      <c r="C69" s="8" t="s">
        <v>170</v>
      </c>
      <c r="D69" s="8" t="str">
        <f>_xlfn.TEXTJOIN(" ",TRUE,TBL_PHV[[#This Row],[Vorname]],TBL_PHV[[#This Row],[Nachname]])</f>
        <v>Ben Alexander Heinrich</v>
      </c>
      <c r="E69" s="9">
        <v>39882</v>
      </c>
      <c r="F69" s="9">
        <v>44569</v>
      </c>
      <c r="G69" s="9" t="s">
        <v>35</v>
      </c>
      <c r="H69" s="9" t="s">
        <v>36</v>
      </c>
      <c r="I69" s="16" t="s">
        <v>132</v>
      </c>
      <c r="J69" s="16"/>
      <c r="K69" s="10" t="s">
        <v>38</v>
      </c>
      <c r="L69" s="11">
        <v>3</v>
      </c>
      <c r="M69" s="12">
        <v>173</v>
      </c>
      <c r="N69" s="11">
        <v>128</v>
      </c>
      <c r="O69" s="11">
        <v>55.5</v>
      </c>
      <c r="P69" s="11">
        <v>167</v>
      </c>
      <c r="Q69" s="11">
        <v>175</v>
      </c>
      <c r="R69" s="11">
        <v>195</v>
      </c>
      <c r="S69" s="13">
        <f>IF(TBL_PHV[[#This Row],[Sitzgröße gemessen]]="","",TBL_PHV[[#This Row],[Sitzgröße gemessen]]-$S$3)</f>
        <v>83</v>
      </c>
      <c r="T69" s="14">
        <f>IF(TBL_PHV[[#This Row],[Testdatum]]="","",YEARFRAC(TBL_PHV[[#This Row],[Geburtsdatum]],TBL_PHV[[#This Row],[Testdatum]]))</f>
        <v>12.827777777777778</v>
      </c>
      <c r="U69" s="13">
        <f>IF(TBL_PHV[[#This Row],[Sitzgröße berechnet]]="","",TBL_PHV[[#This Row],[Größe]]-TBL_PHV[[#This Row],[Sitzgröße berechnet]])</f>
        <v>90</v>
      </c>
      <c r="V69" s="14">
        <f>IF(TBL_PHV[[#This Row],[Gewicht]]="","",TBL_PHV[[#This Row],[Gewicht]]/(TBL_PHV[[#This Row],[Größe]]/100)^2)</f>
        <v>18.543887199705971</v>
      </c>
      <c r="W69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13.542625191201026</v>
      </c>
      <c r="X69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-0.7148474134232492</v>
      </c>
      <c r="Y69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70" spans="1:25" x14ac:dyDescent="0.25">
      <c r="A70">
        <v>70</v>
      </c>
      <c r="B70" s="8" t="s">
        <v>171</v>
      </c>
      <c r="C70" s="8" t="s">
        <v>42</v>
      </c>
      <c r="D70" s="8" t="str">
        <f>_xlfn.TEXTJOIN(" ",TRUE,TBL_PHV[[#This Row],[Vorname]],TBL_PHV[[#This Row],[Nachname]])</f>
        <v>Finn Schmelzer</v>
      </c>
      <c r="E70" s="9">
        <v>40143</v>
      </c>
      <c r="F70" s="9">
        <v>44569</v>
      </c>
      <c r="G70" s="9" t="s">
        <v>35</v>
      </c>
      <c r="H70" s="9" t="s">
        <v>36</v>
      </c>
      <c r="I70" s="16" t="s">
        <v>132</v>
      </c>
      <c r="J70" s="16"/>
      <c r="K70" s="10" t="s">
        <v>38</v>
      </c>
      <c r="L70" s="11">
        <v>4.5</v>
      </c>
      <c r="M70" s="12">
        <v>162</v>
      </c>
      <c r="N70" s="11">
        <v>122.5</v>
      </c>
      <c r="O70" s="11">
        <v>47</v>
      </c>
      <c r="P70" s="11">
        <v>170</v>
      </c>
      <c r="Q70" s="11">
        <v>164</v>
      </c>
      <c r="R70" s="11">
        <v>194</v>
      </c>
      <c r="S70" s="13">
        <f>IF(TBL_PHV[[#This Row],[Sitzgröße gemessen]]="","",TBL_PHV[[#This Row],[Sitzgröße gemessen]]-$S$3)</f>
        <v>77.5</v>
      </c>
      <c r="T70" s="14">
        <f>IF(TBL_PHV[[#This Row],[Testdatum]]="","",YEARFRAC(TBL_PHV[[#This Row],[Geburtsdatum]],TBL_PHV[[#This Row],[Testdatum]]))</f>
        <v>12.116666666666667</v>
      </c>
      <c r="U70" s="13">
        <f>IF(TBL_PHV[[#This Row],[Sitzgröße berechnet]]="","",TBL_PHV[[#This Row],[Größe]]-TBL_PHV[[#This Row],[Sitzgröße berechnet]])</f>
        <v>84.5</v>
      </c>
      <c r="V70" s="14">
        <f>IF(TBL_PHV[[#This Row],[Gewicht]]="","",TBL_PHV[[#This Row],[Gewicht]]/(TBL_PHV[[#This Row],[Größe]]/100)^2)</f>
        <v>17.908855357415025</v>
      </c>
      <c r="W70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13.84085394537037</v>
      </c>
      <c r="X70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-1.7241872787037031</v>
      </c>
      <c r="Y70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 bis -1.5</v>
      </c>
    </row>
    <row r="71" spans="1:25" x14ac:dyDescent="0.25">
      <c r="A71">
        <v>71</v>
      </c>
      <c r="B71" s="8" t="s">
        <v>172</v>
      </c>
      <c r="C71" s="8" t="s">
        <v>173</v>
      </c>
      <c r="D71" s="8" t="str">
        <f>_xlfn.TEXTJOIN(" ",TRUE,TBL_PHV[[#This Row],[Vorname]],TBL_PHV[[#This Row],[Nachname]])</f>
        <v>Andreas Chantladze</v>
      </c>
      <c r="E71" s="9">
        <v>39598</v>
      </c>
      <c r="F71" s="9">
        <v>44569</v>
      </c>
      <c r="G71" s="9" t="s">
        <v>35</v>
      </c>
      <c r="H71" s="9" t="s">
        <v>36</v>
      </c>
      <c r="I71" s="16" t="s">
        <v>132</v>
      </c>
      <c r="J71" s="16"/>
      <c r="K71" s="10" t="s">
        <v>38</v>
      </c>
      <c r="L71" s="11">
        <v>5</v>
      </c>
      <c r="M71" s="12">
        <v>158.5</v>
      </c>
      <c r="N71" s="11">
        <v>121</v>
      </c>
      <c r="O71" s="11">
        <v>45.8</v>
      </c>
      <c r="P71" s="11">
        <v>160</v>
      </c>
      <c r="Q71" s="11">
        <v>174</v>
      </c>
      <c r="R71" s="11"/>
      <c r="S71" s="13">
        <f>IF(TBL_PHV[[#This Row],[Sitzgröße gemessen]]="","",TBL_PHV[[#This Row],[Sitzgröße gemessen]]-$S$3)</f>
        <v>76</v>
      </c>
      <c r="T71" s="14">
        <f>IF(TBL_PHV[[#This Row],[Testdatum]]="","",YEARFRAC(TBL_PHV[[#This Row],[Geburtsdatum]],TBL_PHV[[#This Row],[Testdatum]]))</f>
        <v>13.605555555555556</v>
      </c>
      <c r="U71" s="13">
        <f>IF(TBL_PHV[[#This Row],[Sitzgröße berechnet]]="","",TBL_PHV[[#This Row],[Größe]]-TBL_PHV[[#This Row],[Sitzgröße berechnet]])</f>
        <v>82.5</v>
      </c>
      <c r="V71" s="14">
        <f>IF(TBL_PHV[[#This Row],[Gewicht]]="","",TBL_PHV[[#This Row],[Gewicht]]/(TBL_PHV[[#This Row],[Größe]]/100)^2)</f>
        <v>18.230851137935495</v>
      </c>
      <c r="W71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14.886489402024186</v>
      </c>
      <c r="X71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-1.2809338464686293</v>
      </c>
      <c r="Y71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72" spans="1:25" x14ac:dyDescent="0.25">
      <c r="A72">
        <v>72</v>
      </c>
      <c r="B72" s="8" t="s">
        <v>33</v>
      </c>
      <c r="C72" s="8" t="s">
        <v>174</v>
      </c>
      <c r="D72" s="8" t="str">
        <f>_xlfn.TEXTJOIN(" ",TRUE,TBL_PHV[[#This Row],[Vorname]],TBL_PHV[[#This Row],[Nachname]])</f>
        <v>Talu Jang</v>
      </c>
      <c r="E72" s="9">
        <v>39955</v>
      </c>
      <c r="F72" s="9">
        <v>44569</v>
      </c>
      <c r="G72" s="9" t="s">
        <v>35</v>
      </c>
      <c r="H72" s="9" t="s">
        <v>36</v>
      </c>
      <c r="I72" s="16" t="s">
        <v>132</v>
      </c>
      <c r="J72" s="16"/>
      <c r="K72" s="10" t="s">
        <v>38</v>
      </c>
      <c r="L72" s="11">
        <v>6.5</v>
      </c>
      <c r="M72" s="12">
        <v>167</v>
      </c>
      <c r="N72" s="11">
        <v>130</v>
      </c>
      <c r="O72" s="11">
        <v>45.2</v>
      </c>
      <c r="P72" s="11">
        <v>165</v>
      </c>
      <c r="Q72" s="11">
        <v>162</v>
      </c>
      <c r="R72" s="11">
        <v>181</v>
      </c>
      <c r="S72" s="13">
        <f>IF(TBL_PHV[[#This Row],[Sitzgröße gemessen]]="","",TBL_PHV[[#This Row],[Sitzgröße gemessen]]-$S$3)</f>
        <v>85</v>
      </c>
      <c r="T72" s="14">
        <f>IF(TBL_PHV[[#This Row],[Testdatum]]="","",YEARFRAC(TBL_PHV[[#This Row],[Geburtsdatum]],TBL_PHV[[#This Row],[Testdatum]]))</f>
        <v>12.627777777777778</v>
      </c>
      <c r="U72" s="13">
        <f>IF(TBL_PHV[[#This Row],[Sitzgröße berechnet]]="","",TBL_PHV[[#This Row],[Größe]]-TBL_PHV[[#This Row],[Sitzgröße berechnet]])</f>
        <v>82</v>
      </c>
      <c r="V72" s="14">
        <f>IF(TBL_PHV[[#This Row],[Gewicht]]="","",TBL_PHV[[#This Row],[Gewicht]]/(TBL_PHV[[#This Row],[Größe]]/100)^2)</f>
        <v>16.207106744594643</v>
      </c>
      <c r="W72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13.332577843845641</v>
      </c>
      <c r="X72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-0.7048000660678635</v>
      </c>
      <c r="Y72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73" spans="1:25" x14ac:dyDescent="0.25">
      <c r="A73">
        <v>73</v>
      </c>
      <c r="B73" s="8" t="s">
        <v>175</v>
      </c>
      <c r="C73" s="8" t="s">
        <v>176</v>
      </c>
      <c r="D73" s="8" t="str">
        <f>_xlfn.TEXTJOIN(" ",TRUE,TBL_PHV[[#This Row],[Vorname]],TBL_PHV[[#This Row],[Nachname]])</f>
        <v>Elias Khan</v>
      </c>
      <c r="E73" s="9">
        <v>39892</v>
      </c>
      <c r="F73" s="9">
        <v>44569</v>
      </c>
      <c r="G73" s="9" t="s">
        <v>35</v>
      </c>
      <c r="H73" s="9" t="s">
        <v>36</v>
      </c>
      <c r="I73" s="16" t="s">
        <v>132</v>
      </c>
      <c r="J73" s="16"/>
      <c r="K73" s="10" t="s">
        <v>38</v>
      </c>
      <c r="L73" s="11">
        <v>2</v>
      </c>
      <c r="M73" s="12">
        <v>165.5</v>
      </c>
      <c r="N73" s="11">
        <v>124.5</v>
      </c>
      <c r="O73" s="11">
        <v>47.5</v>
      </c>
      <c r="P73" s="11">
        <v>163</v>
      </c>
      <c r="Q73" s="11"/>
      <c r="R73" s="11">
        <v>185</v>
      </c>
      <c r="S73" s="13">
        <f>IF(TBL_PHV[[#This Row],[Sitzgröße gemessen]]="","",TBL_PHV[[#This Row],[Sitzgröße gemessen]]-$S$3)</f>
        <v>79.5</v>
      </c>
      <c r="T73" s="14">
        <f>IF(TBL_PHV[[#This Row],[Testdatum]]="","",YEARFRAC(TBL_PHV[[#This Row],[Geburtsdatum]],TBL_PHV[[#This Row],[Testdatum]]))</f>
        <v>12.8</v>
      </c>
      <c r="U73" s="13">
        <f>IF(TBL_PHV[[#This Row],[Sitzgröße berechnet]]="","",TBL_PHV[[#This Row],[Größe]]-TBL_PHV[[#This Row],[Sitzgröße berechnet]])</f>
        <v>86</v>
      </c>
      <c r="V73" s="14">
        <f>IF(TBL_PHV[[#This Row],[Gewicht]]="","",TBL_PHV[[#This Row],[Gewicht]]/(TBL_PHV[[#This Row],[Größe]]/100)^2)</f>
        <v>17.341937368224091</v>
      </c>
      <c r="W73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14.014344426586103</v>
      </c>
      <c r="X73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-1.214344426586103</v>
      </c>
      <c r="Y73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74" spans="1:25" x14ac:dyDescent="0.25">
      <c r="A74">
        <v>74</v>
      </c>
      <c r="B74" s="8" t="s">
        <v>177</v>
      </c>
      <c r="C74" s="8" t="s">
        <v>178</v>
      </c>
      <c r="D74" s="8" t="str">
        <f>_xlfn.TEXTJOIN(" ",TRUE,TBL_PHV[[#This Row],[Vorname]],TBL_PHV[[#This Row],[Nachname]])</f>
        <v>Adel Halilbasic</v>
      </c>
      <c r="E74" s="9">
        <v>40126</v>
      </c>
      <c r="F74" s="9">
        <v>44569</v>
      </c>
      <c r="G74" s="9" t="s">
        <v>35</v>
      </c>
      <c r="H74" s="9" t="s">
        <v>36</v>
      </c>
      <c r="I74" s="16" t="s">
        <v>132</v>
      </c>
      <c r="J74" s="16"/>
      <c r="K74" s="10" t="s">
        <v>38</v>
      </c>
      <c r="L74" s="11">
        <v>8</v>
      </c>
      <c r="M74" s="12">
        <v>172.5</v>
      </c>
      <c r="N74" s="11">
        <v>131.5</v>
      </c>
      <c r="O74" s="11">
        <v>72.2</v>
      </c>
      <c r="P74" s="11">
        <v>175</v>
      </c>
      <c r="Q74" s="11">
        <v>178</v>
      </c>
      <c r="R74" s="11">
        <v>198</v>
      </c>
      <c r="S74" s="13">
        <f>IF(TBL_PHV[[#This Row],[Sitzgröße gemessen]]="","",TBL_PHV[[#This Row],[Sitzgröße gemessen]]-$S$3)</f>
        <v>86.5</v>
      </c>
      <c r="T74" s="14">
        <f>IF(TBL_PHV[[#This Row],[Testdatum]]="","",YEARFRAC(TBL_PHV[[#This Row],[Geburtsdatum]],TBL_PHV[[#This Row],[Testdatum]]))</f>
        <v>12.16388888888889</v>
      </c>
      <c r="U74" s="13">
        <f>IF(TBL_PHV[[#This Row],[Sitzgröße berechnet]]="","",TBL_PHV[[#This Row],[Größe]]-TBL_PHV[[#This Row],[Sitzgröße berechnet]])</f>
        <v>86</v>
      </c>
      <c r="V74" s="14">
        <f>IF(TBL_PHV[[#This Row],[Gewicht]]="","",TBL_PHV[[#This Row],[Gewicht]]/(TBL_PHV[[#This Row],[Größe]]/100)^2)</f>
        <v>24.263810123923545</v>
      </c>
      <c r="W74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12.573239666908213</v>
      </c>
      <c r="X74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-0.40935077801932396</v>
      </c>
      <c r="Y74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-0.5 bis 0.5</v>
      </c>
    </row>
    <row r="75" spans="1:25" x14ac:dyDescent="0.25">
      <c r="A75">
        <v>75</v>
      </c>
      <c r="B75" s="8" t="s">
        <v>179</v>
      </c>
      <c r="C75" s="8" t="s">
        <v>180</v>
      </c>
      <c r="D75" s="8" t="str">
        <f>_xlfn.TEXTJOIN(" ",TRUE,TBL_PHV[[#This Row],[Vorname]],TBL_PHV[[#This Row],[Nachname]])</f>
        <v>Jan Tim Baumann</v>
      </c>
      <c r="E75" s="9">
        <v>39521</v>
      </c>
      <c r="F75" s="9">
        <v>44569</v>
      </c>
      <c r="G75" s="9" t="s">
        <v>35</v>
      </c>
      <c r="H75" s="9" t="s">
        <v>36</v>
      </c>
      <c r="I75" s="16" t="s">
        <v>132</v>
      </c>
      <c r="J75" s="16"/>
      <c r="K75" s="10" t="s">
        <v>38</v>
      </c>
      <c r="L75" s="11">
        <v>5</v>
      </c>
      <c r="M75" s="12">
        <v>192.5</v>
      </c>
      <c r="N75" s="11">
        <v>141</v>
      </c>
      <c r="O75" s="11">
        <v>67.3</v>
      </c>
      <c r="P75" s="11">
        <v>191</v>
      </c>
      <c r="Q75" s="11">
        <v>176</v>
      </c>
      <c r="R75" s="11">
        <v>186</v>
      </c>
      <c r="S75" s="13">
        <f>IF(TBL_PHV[[#This Row],[Sitzgröße gemessen]]="","",TBL_PHV[[#This Row],[Sitzgröße gemessen]]-$S$3)</f>
        <v>96</v>
      </c>
      <c r="T75" s="14">
        <f>IF(TBL_PHV[[#This Row],[Testdatum]]="","",YEARFRAC(TBL_PHV[[#This Row],[Geburtsdatum]],TBL_PHV[[#This Row],[Testdatum]]))</f>
        <v>13.816666666666666</v>
      </c>
      <c r="U75" s="13">
        <f>IF(TBL_PHV[[#This Row],[Sitzgröße berechnet]]="","",TBL_PHV[[#This Row],[Größe]]-TBL_PHV[[#This Row],[Sitzgröße berechnet]])</f>
        <v>96.5</v>
      </c>
      <c r="V75" s="14">
        <f>IF(TBL_PHV[[#This Row],[Gewicht]]="","",TBL_PHV[[#This Row],[Gewicht]]/(TBL_PHV[[#This Row],[Größe]]/100)^2)</f>
        <v>18.161578681059197</v>
      </c>
      <c r="W75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12.388657812012987</v>
      </c>
      <c r="X75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1.4280088546536787</v>
      </c>
      <c r="Y75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0.5 bis 1.5</v>
      </c>
    </row>
    <row r="76" spans="1:25" x14ac:dyDescent="0.25">
      <c r="A76">
        <v>76</v>
      </c>
      <c r="B76" s="8" t="s">
        <v>181</v>
      </c>
      <c r="C76" s="8" t="s">
        <v>182</v>
      </c>
      <c r="D76" s="8" t="str">
        <f>_xlfn.TEXTJOIN(" ",TRUE,TBL_PHV[[#This Row],[Vorname]],TBL_PHV[[#This Row],[Nachname]])</f>
        <v>Gero Mackowiak</v>
      </c>
      <c r="E76" s="9">
        <v>39869</v>
      </c>
      <c r="F76" s="9">
        <v>44569</v>
      </c>
      <c r="G76" s="9" t="s">
        <v>35</v>
      </c>
      <c r="H76" s="9" t="s">
        <v>36</v>
      </c>
      <c r="I76" s="16" t="s">
        <v>132</v>
      </c>
      <c r="J76" s="16"/>
      <c r="K76" s="10" t="s">
        <v>38</v>
      </c>
      <c r="L76" s="11">
        <v>3</v>
      </c>
      <c r="M76" s="12">
        <v>164.5</v>
      </c>
      <c r="N76" s="11">
        <v>125</v>
      </c>
      <c r="O76" s="11">
        <v>49.7</v>
      </c>
      <c r="P76" s="11">
        <v>164</v>
      </c>
      <c r="Q76" s="11">
        <v>161</v>
      </c>
      <c r="R76" s="11">
        <v>178</v>
      </c>
      <c r="S76" s="13">
        <f>IF(TBL_PHV[[#This Row],[Sitzgröße gemessen]]="","",TBL_PHV[[#This Row],[Sitzgröße gemessen]]-$S$3)</f>
        <v>80</v>
      </c>
      <c r="T76" s="14">
        <f>IF(TBL_PHV[[#This Row],[Testdatum]]="","",YEARFRAC(TBL_PHV[[#This Row],[Geburtsdatum]],TBL_PHV[[#This Row],[Testdatum]]))</f>
        <v>12.869444444444444</v>
      </c>
      <c r="U76" s="13">
        <f>IF(TBL_PHV[[#This Row],[Sitzgröße berechnet]]="","",TBL_PHV[[#This Row],[Größe]]-TBL_PHV[[#This Row],[Sitzgröße berechnet]])</f>
        <v>84.5</v>
      </c>
      <c r="V76" s="14">
        <f>IF(TBL_PHV[[#This Row],[Gewicht]]="","",TBL_PHV[[#This Row],[Gewicht]]/(TBL_PHV[[#This Row],[Größe]]/100)^2)</f>
        <v>18.366423074435751</v>
      </c>
      <c r="W76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13.961546336199765</v>
      </c>
      <c r="X76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-1.0921018917553211</v>
      </c>
      <c r="Y76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77" spans="1:25" x14ac:dyDescent="0.25">
      <c r="A77">
        <v>77</v>
      </c>
      <c r="B77" s="8" t="s">
        <v>183</v>
      </c>
      <c r="C77" s="8" t="s">
        <v>184</v>
      </c>
      <c r="D77" s="8" t="str">
        <f>_xlfn.TEXTJOIN(" ",TRUE,TBL_PHV[[#This Row],[Vorname]],TBL_PHV[[#This Row],[Nachname]])</f>
        <v>Tristan Buchberger</v>
      </c>
      <c r="E77" s="9">
        <v>39865</v>
      </c>
      <c r="F77" s="9">
        <v>44569</v>
      </c>
      <c r="G77" s="9" t="s">
        <v>35</v>
      </c>
      <c r="H77" s="9" t="s">
        <v>36</v>
      </c>
      <c r="I77" s="16" t="s">
        <v>132</v>
      </c>
      <c r="J77" s="16"/>
      <c r="K77" s="10" t="s">
        <v>38</v>
      </c>
      <c r="L77" s="11">
        <v>2</v>
      </c>
      <c r="M77" s="12">
        <v>166</v>
      </c>
      <c r="N77" s="11">
        <v>123.5</v>
      </c>
      <c r="O77" s="11">
        <v>54.5</v>
      </c>
      <c r="P77" s="11">
        <v>166</v>
      </c>
      <c r="Q77" s="11">
        <v>170</v>
      </c>
      <c r="R77" s="11">
        <v>184</v>
      </c>
      <c r="S77" s="13">
        <f>IF(TBL_PHV[[#This Row],[Sitzgröße gemessen]]="","",TBL_PHV[[#This Row],[Sitzgröße gemessen]]-$S$3)</f>
        <v>78.5</v>
      </c>
      <c r="T77" s="14">
        <f>IF(TBL_PHV[[#This Row],[Testdatum]]="","",YEARFRAC(TBL_PHV[[#This Row],[Geburtsdatum]],TBL_PHV[[#This Row],[Testdatum]]))</f>
        <v>12.880555555555556</v>
      </c>
      <c r="U77" s="13">
        <f>IF(TBL_PHV[[#This Row],[Sitzgröße berechnet]]="","",TBL_PHV[[#This Row],[Größe]]-TBL_PHV[[#This Row],[Sitzgröße berechnet]])</f>
        <v>87.5</v>
      </c>
      <c r="V77" s="14">
        <f>IF(TBL_PHV[[#This Row],[Gewicht]]="","",TBL_PHV[[#This Row],[Gewicht]]/(TBL_PHV[[#This Row],[Größe]]/100)^2)</f>
        <v>19.777906807954711</v>
      </c>
      <c r="W77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14.082017942151943</v>
      </c>
      <c r="X77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-1.2014623865963854</v>
      </c>
      <c r="Y77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78" spans="1:25" x14ac:dyDescent="0.25">
      <c r="A78">
        <v>78</v>
      </c>
      <c r="B78" s="8" t="s">
        <v>185</v>
      </c>
      <c r="C78" s="8" t="s">
        <v>186</v>
      </c>
      <c r="D78" s="8" t="str">
        <f>_xlfn.TEXTJOIN(" ",TRUE,TBL_PHV[[#This Row],[Vorname]],TBL_PHV[[#This Row],[Nachname]])</f>
        <v>Sterling Marc Schiedung</v>
      </c>
      <c r="E78" s="9">
        <v>39451</v>
      </c>
      <c r="F78" s="9">
        <v>44569</v>
      </c>
      <c r="G78" s="9" t="s">
        <v>35</v>
      </c>
      <c r="H78" s="9" t="s">
        <v>36</v>
      </c>
      <c r="I78" s="16" t="s">
        <v>132</v>
      </c>
      <c r="J78" s="16"/>
      <c r="K78" s="10" t="s">
        <v>38</v>
      </c>
      <c r="L78" s="11">
        <v>3</v>
      </c>
      <c r="M78" s="12">
        <v>170.5</v>
      </c>
      <c r="N78" s="11">
        <v>132</v>
      </c>
      <c r="O78" s="11">
        <v>69.3</v>
      </c>
      <c r="P78" s="11">
        <v>174.5</v>
      </c>
      <c r="Q78" s="11">
        <v>163</v>
      </c>
      <c r="R78" s="11">
        <v>183</v>
      </c>
      <c r="S78" s="13">
        <f>IF(TBL_PHV[[#This Row],[Sitzgröße gemessen]]="","",TBL_PHV[[#This Row],[Sitzgröße gemessen]]-$S$3)</f>
        <v>87</v>
      </c>
      <c r="T78" s="14">
        <f>IF(TBL_PHV[[#This Row],[Testdatum]]="","",YEARFRAC(TBL_PHV[[#This Row],[Geburtsdatum]],TBL_PHV[[#This Row],[Testdatum]]))</f>
        <v>14.011111111111111</v>
      </c>
      <c r="U78" s="13">
        <f>IF(TBL_PHV[[#This Row],[Sitzgröße berechnet]]="","",TBL_PHV[[#This Row],[Größe]]-TBL_PHV[[#This Row],[Sitzgröße berechnet]])</f>
        <v>83.5</v>
      </c>
      <c r="V78" s="14">
        <f>IF(TBL_PHV[[#This Row],[Gewicht]]="","",TBL_PHV[[#This Row],[Gewicht]]/(TBL_PHV[[#This Row],[Größe]]/100)^2)</f>
        <v>23.838804275849018</v>
      </c>
      <c r="W78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13.497823842114697</v>
      </c>
      <c r="X78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0.5132872689964153</v>
      </c>
      <c r="Y78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0.5 bis 1.5</v>
      </c>
    </row>
    <row r="79" spans="1:25" x14ac:dyDescent="0.25">
      <c r="A79">
        <v>85</v>
      </c>
      <c r="B79" s="8" t="s">
        <v>197</v>
      </c>
      <c r="C79" s="8" t="s">
        <v>198</v>
      </c>
      <c r="D79" s="8" t="str">
        <f>_xlfn.TEXTJOIN(" ",TRUE,TBL_PHV[[#This Row],[Vorname]],TBL_PHV[[#This Row],[Nachname]])</f>
        <v>Aleksander Bojic</v>
      </c>
      <c r="E79" s="9">
        <v>39475</v>
      </c>
      <c r="F79" s="9">
        <v>44569</v>
      </c>
      <c r="G79" s="9" t="s">
        <v>35</v>
      </c>
      <c r="H79" s="9" t="s">
        <v>36</v>
      </c>
      <c r="I79" s="16" t="s">
        <v>132</v>
      </c>
      <c r="J79" s="16"/>
      <c r="K79" s="10" t="s">
        <v>38</v>
      </c>
      <c r="L79" s="11">
        <v>7</v>
      </c>
      <c r="M79" s="12">
        <v>165.5</v>
      </c>
      <c r="N79" s="11">
        <v>126</v>
      </c>
      <c r="O79" s="11">
        <v>62.1</v>
      </c>
      <c r="P79" s="11">
        <v>172</v>
      </c>
      <c r="Q79" s="11">
        <v>171</v>
      </c>
      <c r="R79" s="11">
        <v>183</v>
      </c>
      <c r="S79" s="13">
        <f>IF(TBL_PHV[[#This Row],[Sitzgröße gemessen]]="","",TBL_PHV[[#This Row],[Sitzgröße gemessen]]-$S$3)</f>
        <v>81</v>
      </c>
      <c r="T79" s="14">
        <f>IF(TBL_PHV[[#This Row],[Testdatum]]="","",YEARFRAC(TBL_PHV[[#This Row],[Geburtsdatum]],TBL_PHV[[#This Row],[Testdatum]]))</f>
        <v>13.944444444444445</v>
      </c>
      <c r="U79" s="13">
        <f>IF(TBL_PHV[[#This Row],[Sitzgröße berechnet]]="","",TBL_PHV[[#This Row],[Größe]]-TBL_PHV[[#This Row],[Sitzgröße berechnet]])</f>
        <v>84.5</v>
      </c>
      <c r="V79" s="14">
        <f>IF(TBL_PHV[[#This Row],[Gewicht]]="","",TBL_PHV[[#This Row],[Gewicht]]/(TBL_PHV[[#This Row],[Größe]]/100)^2)</f>
        <v>22.672301275088763</v>
      </c>
      <c r="W79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14.275984647985901</v>
      </c>
      <c r="X79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-0.33154020354145686</v>
      </c>
      <c r="Y79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-0.5 bis 0.5</v>
      </c>
    </row>
    <row r="80" spans="1:25" x14ac:dyDescent="0.25">
      <c r="A80">
        <v>7</v>
      </c>
      <c r="B80" s="8" t="s">
        <v>48</v>
      </c>
      <c r="C80" s="8" t="s">
        <v>50</v>
      </c>
      <c r="D80" s="8" t="str">
        <f>_xlfn.TEXTJOIN(" ",TRUE,TBL_PHV[[#This Row],[Vorname]],TBL_PHV[[#This Row],[Nachname]])</f>
        <v>Arne Rosenbohm</v>
      </c>
      <c r="E80" s="9">
        <v>39510</v>
      </c>
      <c r="F80" s="9">
        <v>44569</v>
      </c>
      <c r="G80" s="9" t="s">
        <v>35</v>
      </c>
      <c r="H80" s="9" t="s">
        <v>36</v>
      </c>
      <c r="I80" s="16" t="s">
        <v>51</v>
      </c>
      <c r="J80" s="16"/>
      <c r="K80" s="10" t="s">
        <v>38</v>
      </c>
      <c r="L80" s="11">
        <v>5</v>
      </c>
      <c r="M80" s="12">
        <v>166</v>
      </c>
      <c r="N80" s="11">
        <v>128</v>
      </c>
      <c r="O80" s="11">
        <v>45.2</v>
      </c>
      <c r="P80" s="11">
        <v>158</v>
      </c>
      <c r="Q80" s="11">
        <v>163</v>
      </c>
      <c r="R80" s="11">
        <v>183</v>
      </c>
      <c r="S80" s="13">
        <f>IF(TBL_PHV[[#This Row],[Sitzgröße gemessen]]="","",TBL_PHV[[#This Row],[Sitzgröße gemessen]]-$S$3)</f>
        <v>83</v>
      </c>
      <c r="T80" s="14">
        <f>IF(TBL_PHV[[#This Row],[Testdatum]]="","",YEARFRAC(TBL_PHV[[#This Row],[Geburtsdatum]],TBL_PHV[[#This Row],[Testdatum]]))</f>
        <v>13.847222222222221</v>
      </c>
      <c r="U80" s="13">
        <f>IF(TBL_PHV[[#This Row],[Sitzgröße berechnet]]="","",TBL_PHV[[#This Row],[Größe]]-TBL_PHV[[#This Row],[Sitzgröße berechnet]])</f>
        <v>83</v>
      </c>
      <c r="V80" s="14">
        <f>IF(TBL_PHV[[#This Row],[Gewicht]]="","",TBL_PHV[[#This Row],[Gewicht]]/(TBL_PHV[[#This Row],[Größe]]/100)^2)</f>
        <v>16.402961242560608</v>
      </c>
      <c r="W80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14.211423400234271</v>
      </c>
      <c r="X80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-0.36420117801204976</v>
      </c>
      <c r="Y80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-0.5 bis 0.5</v>
      </c>
    </row>
    <row r="81" spans="1:25" x14ac:dyDescent="0.25">
      <c r="A81">
        <v>38</v>
      </c>
      <c r="B81" s="8" t="s">
        <v>112</v>
      </c>
      <c r="C81" s="8" t="s">
        <v>113</v>
      </c>
      <c r="D81" s="8" t="str">
        <f>_xlfn.TEXTJOIN(" ",TRUE,TBL_PHV[[#This Row],[Vorname]],TBL_PHV[[#This Row],[Nachname]])</f>
        <v>Mara Tegeler</v>
      </c>
      <c r="E81" s="9">
        <v>39864</v>
      </c>
      <c r="F81" s="9">
        <v>44569</v>
      </c>
      <c r="G81" s="9" t="s">
        <v>35</v>
      </c>
      <c r="H81" s="9" t="s">
        <v>36</v>
      </c>
      <c r="I81" s="16" t="s">
        <v>51</v>
      </c>
      <c r="J81" s="16"/>
      <c r="K81" s="10" t="s">
        <v>55</v>
      </c>
      <c r="L81" s="11">
        <v>6</v>
      </c>
      <c r="M81" s="12">
        <v>158</v>
      </c>
      <c r="N81" s="11">
        <v>124</v>
      </c>
      <c r="O81" s="11">
        <v>42.9</v>
      </c>
      <c r="P81" s="11">
        <v>152</v>
      </c>
      <c r="Q81" s="11">
        <v>172</v>
      </c>
      <c r="R81" s="11">
        <v>172</v>
      </c>
      <c r="S81" s="13">
        <f>IF(TBL_PHV[[#This Row],[Sitzgröße gemessen]]="","",TBL_PHV[[#This Row],[Sitzgröße gemessen]]-$S$3)</f>
        <v>79</v>
      </c>
      <c r="T81" s="14">
        <f>IF(TBL_PHV[[#This Row],[Testdatum]]="","",YEARFRAC(TBL_PHV[[#This Row],[Geburtsdatum]],TBL_PHV[[#This Row],[Testdatum]]))</f>
        <v>12.883333333333333</v>
      </c>
      <c r="U81" s="13">
        <f>IF(TBL_PHV[[#This Row],[Sitzgröße berechnet]]="","",TBL_PHV[[#This Row],[Größe]]-TBL_PHV[[#This Row],[Sitzgröße berechnet]])</f>
        <v>79</v>
      </c>
      <c r="V81" s="14">
        <f>IF(TBL_PHV[[#This Row],[Gewicht]]="","",TBL_PHV[[#This Row],[Gewicht]]/(TBL_PHV[[#This Row],[Größe]]/100)^2)</f>
        <v>17.184746034289372</v>
      </c>
      <c r="W81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12.281049090379746</v>
      </c>
      <c r="X81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0.60228424295358729</v>
      </c>
      <c r="Y81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0.5 bis 1.5</v>
      </c>
    </row>
    <row r="82" spans="1:25" x14ac:dyDescent="0.25">
      <c r="A82">
        <v>66</v>
      </c>
      <c r="B82" s="8" t="s">
        <v>163</v>
      </c>
      <c r="C82" s="8" t="s">
        <v>164</v>
      </c>
      <c r="D82" s="8" t="str">
        <f>_xlfn.TEXTJOIN(" ",TRUE,TBL_PHV[[#This Row],[Vorname]],TBL_PHV[[#This Row],[Nachname]])</f>
        <v>Djamy Sandra Hölken</v>
      </c>
      <c r="E82" s="9">
        <v>39582</v>
      </c>
      <c r="F82" s="9">
        <v>44569</v>
      </c>
      <c r="G82" s="9" t="s">
        <v>35</v>
      </c>
      <c r="H82" s="9" t="s">
        <v>36</v>
      </c>
      <c r="I82" s="16" t="s">
        <v>51</v>
      </c>
      <c r="J82" s="16"/>
      <c r="K82" s="10" t="s">
        <v>55</v>
      </c>
      <c r="L82" s="11">
        <v>6</v>
      </c>
      <c r="M82" s="12">
        <v>161.5</v>
      </c>
      <c r="N82" s="11">
        <v>124</v>
      </c>
      <c r="O82" s="11">
        <v>50.2</v>
      </c>
      <c r="P82" s="11">
        <v>170</v>
      </c>
      <c r="Q82" s="11">
        <v>170</v>
      </c>
      <c r="R82" s="11">
        <v>183</v>
      </c>
      <c r="S82" s="13">
        <f>IF(TBL_PHV[[#This Row],[Sitzgröße gemessen]]="","",TBL_PHV[[#This Row],[Sitzgröße gemessen]]-$S$3)</f>
        <v>79</v>
      </c>
      <c r="T82" s="14">
        <f>IF(TBL_PHV[[#This Row],[Testdatum]]="","",YEARFRAC(TBL_PHV[[#This Row],[Geburtsdatum]],TBL_PHV[[#This Row],[Testdatum]]))</f>
        <v>13.65</v>
      </c>
      <c r="U82" s="13">
        <f>IF(TBL_PHV[[#This Row],[Sitzgröße berechnet]]="","",TBL_PHV[[#This Row],[Größe]]-TBL_PHV[[#This Row],[Sitzgröße berechnet]])</f>
        <v>82.5</v>
      </c>
      <c r="V82" s="14">
        <f>IF(TBL_PHV[[#This Row],[Gewicht]]="","",TBL_PHV[[#This Row],[Gewicht]]/(TBL_PHV[[#This Row],[Größe]]/100)^2)</f>
        <v>19.24680577787576</v>
      </c>
      <c r="W82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12.45336980888545</v>
      </c>
      <c r="X82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1.1966301911145507</v>
      </c>
      <c r="Y82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0.5 bis 1.5</v>
      </c>
    </row>
    <row r="83" spans="1:25" x14ac:dyDescent="0.25">
      <c r="A83">
        <v>67</v>
      </c>
      <c r="B83" s="8" t="s">
        <v>165</v>
      </c>
      <c r="C83" s="8" t="s">
        <v>166</v>
      </c>
      <c r="D83" s="8" t="str">
        <f>_xlfn.TEXTJOIN(" ",TRUE,TBL_PHV[[#This Row],[Vorname]],TBL_PHV[[#This Row],[Nachname]])</f>
        <v>Emely Keinert</v>
      </c>
      <c r="E83" s="9">
        <v>39921</v>
      </c>
      <c r="F83" s="9">
        <v>44569</v>
      </c>
      <c r="G83" s="9" t="s">
        <v>35</v>
      </c>
      <c r="H83" s="9" t="s">
        <v>36</v>
      </c>
      <c r="I83" s="16" t="s">
        <v>51</v>
      </c>
      <c r="J83" s="16"/>
      <c r="K83" s="10" t="s">
        <v>55</v>
      </c>
      <c r="L83" s="11">
        <v>2.5</v>
      </c>
      <c r="M83" s="12">
        <v>157.5</v>
      </c>
      <c r="N83" s="11">
        <v>123</v>
      </c>
      <c r="O83" s="11">
        <v>49.9</v>
      </c>
      <c r="P83" s="11">
        <v>157</v>
      </c>
      <c r="Q83" s="11">
        <v>168</v>
      </c>
      <c r="R83" s="11">
        <v>178</v>
      </c>
      <c r="S83" s="13">
        <f>IF(TBL_PHV[[#This Row],[Sitzgröße gemessen]]="","",TBL_PHV[[#This Row],[Sitzgröße gemessen]]-$S$3)</f>
        <v>78</v>
      </c>
      <c r="T83" s="14">
        <f>IF(TBL_PHV[[#This Row],[Testdatum]]="","",YEARFRAC(TBL_PHV[[#This Row],[Geburtsdatum]],TBL_PHV[[#This Row],[Testdatum]]))</f>
        <v>12.722222222222221</v>
      </c>
      <c r="U83" s="13">
        <f>IF(TBL_PHV[[#This Row],[Sitzgröße berechnet]]="","",TBL_PHV[[#This Row],[Größe]]-TBL_PHV[[#This Row],[Sitzgröße berechnet]])</f>
        <v>79.5</v>
      </c>
      <c r="V83" s="14">
        <f>IF(TBL_PHV[[#This Row],[Gewicht]]="","",TBL_PHV[[#This Row],[Gewicht]]/(TBL_PHV[[#This Row],[Größe]]/100)^2)</f>
        <v>20.115898211136308</v>
      </c>
      <c r="W83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12.159922344444444</v>
      </c>
      <c r="X83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0.56229987777777768</v>
      </c>
      <c r="Y83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0.5 bis 1.5</v>
      </c>
    </row>
    <row r="84" spans="1:25" x14ac:dyDescent="0.25">
      <c r="A84">
        <v>68</v>
      </c>
      <c r="B84" s="8" t="s">
        <v>167</v>
      </c>
      <c r="C84" s="8" t="s">
        <v>168</v>
      </c>
      <c r="D84" s="8" t="str">
        <f>_xlfn.TEXTJOIN(" ",TRUE,TBL_PHV[[#This Row],[Vorname]],TBL_PHV[[#This Row],[Nachname]])</f>
        <v xml:space="preserve">Lucie Sieber </v>
      </c>
      <c r="E84" s="9">
        <v>40078</v>
      </c>
      <c r="F84" s="9">
        <v>44569</v>
      </c>
      <c r="G84" s="9" t="s">
        <v>35</v>
      </c>
      <c r="H84" s="9" t="s">
        <v>36</v>
      </c>
      <c r="I84" s="16" t="s">
        <v>51</v>
      </c>
      <c r="J84" s="16"/>
      <c r="K84" s="10" t="s">
        <v>55</v>
      </c>
      <c r="L84" s="11">
        <v>5</v>
      </c>
      <c r="M84" s="12">
        <v>170</v>
      </c>
      <c r="N84" s="11">
        <v>131.5</v>
      </c>
      <c r="O84" s="11">
        <v>59.3</v>
      </c>
      <c r="P84" s="11">
        <v>166.5</v>
      </c>
      <c r="Q84" s="11">
        <v>170</v>
      </c>
      <c r="R84" s="11">
        <v>192</v>
      </c>
      <c r="S84" s="13">
        <f>IF(TBL_PHV[[#This Row],[Sitzgröße gemessen]]="","",TBL_PHV[[#This Row],[Sitzgröße gemessen]]-$S$3)</f>
        <v>86.5</v>
      </c>
      <c r="T84" s="14">
        <f>IF(TBL_PHV[[#This Row],[Testdatum]]="","",YEARFRAC(TBL_PHV[[#This Row],[Geburtsdatum]],TBL_PHV[[#This Row],[Testdatum]]))</f>
        <v>12.294444444444444</v>
      </c>
      <c r="U84" s="13">
        <f>IF(TBL_PHV[[#This Row],[Sitzgröße berechnet]]="","",TBL_PHV[[#This Row],[Größe]]-TBL_PHV[[#This Row],[Sitzgröße berechnet]])</f>
        <v>83.5</v>
      </c>
      <c r="V84" s="14">
        <f>IF(TBL_PHV[[#This Row],[Gewicht]]="","",TBL_PHV[[#This Row],[Gewicht]]/(TBL_PHV[[#This Row],[Größe]]/100)^2)</f>
        <v>20.519031141868513</v>
      </c>
      <c r="W84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11.095251969901961</v>
      </c>
      <c r="X84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1.1991924745424829</v>
      </c>
      <c r="Y84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0.5 bis 1.5</v>
      </c>
    </row>
    <row r="85" spans="1:25" x14ac:dyDescent="0.25">
      <c r="A85">
        <v>79</v>
      </c>
      <c r="B85" s="8" t="s">
        <v>187</v>
      </c>
      <c r="C85" s="8" t="s">
        <v>188</v>
      </c>
      <c r="D85" s="8" t="str">
        <f>_xlfn.TEXTJOIN(" ",TRUE,TBL_PHV[[#This Row],[Vorname]],TBL_PHV[[#This Row],[Nachname]])</f>
        <v>Eliyas Kurt</v>
      </c>
      <c r="E85" s="9">
        <v>39464</v>
      </c>
      <c r="F85" s="9">
        <v>44569</v>
      </c>
      <c r="G85" s="9" t="s">
        <v>35</v>
      </c>
      <c r="H85" s="9" t="s">
        <v>36</v>
      </c>
      <c r="I85" s="16" t="s">
        <v>51</v>
      </c>
      <c r="J85" s="16"/>
      <c r="K85" s="10" t="s">
        <v>38</v>
      </c>
      <c r="L85" s="11">
        <v>5</v>
      </c>
      <c r="M85" s="12">
        <v>170.5</v>
      </c>
      <c r="N85" s="11">
        <v>127.5</v>
      </c>
      <c r="O85" s="11">
        <v>57.2</v>
      </c>
      <c r="P85" s="11">
        <v>170.5</v>
      </c>
      <c r="Q85" s="11">
        <v>160</v>
      </c>
      <c r="R85" s="11">
        <v>183</v>
      </c>
      <c r="S85" s="13">
        <f>IF(TBL_PHV[[#This Row],[Sitzgröße gemessen]]="","",TBL_PHV[[#This Row],[Sitzgröße gemessen]]-$S$3)</f>
        <v>82.5</v>
      </c>
      <c r="T85" s="14">
        <f>IF(TBL_PHV[[#This Row],[Testdatum]]="","",YEARFRAC(TBL_PHV[[#This Row],[Geburtsdatum]],TBL_PHV[[#This Row],[Testdatum]]))</f>
        <v>13.975</v>
      </c>
      <c r="U85" s="13">
        <f>IF(TBL_PHV[[#This Row],[Sitzgröße berechnet]]="","",TBL_PHV[[#This Row],[Größe]]-TBL_PHV[[#This Row],[Sitzgröße berechnet]])</f>
        <v>88</v>
      </c>
      <c r="V85" s="14">
        <f>IF(TBL_PHV[[#This Row],[Gewicht]]="","",TBL_PHV[[#This Row],[Gewicht]]/(TBL_PHV[[#This Row],[Größe]]/100)^2)</f>
        <v>19.676473370542048</v>
      </c>
      <c r="W85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14.201623367741934</v>
      </c>
      <c r="X85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-0.2266233677419347</v>
      </c>
      <c r="Y85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-0.5 bis 0.5</v>
      </c>
    </row>
    <row r="86" spans="1:25" x14ac:dyDescent="0.25">
      <c r="A86">
        <v>80</v>
      </c>
      <c r="B86" s="8" t="s">
        <v>87</v>
      </c>
      <c r="C86" s="8" t="s">
        <v>189</v>
      </c>
      <c r="D86" s="8" t="str">
        <f>_xlfn.TEXTJOIN(" ",TRUE,TBL_PHV[[#This Row],[Vorname]],TBL_PHV[[#This Row],[Nachname]])</f>
        <v>Lasse Kutschka</v>
      </c>
      <c r="E86" s="9">
        <v>39502</v>
      </c>
      <c r="F86" s="9">
        <v>44569</v>
      </c>
      <c r="G86" s="9" t="s">
        <v>35</v>
      </c>
      <c r="H86" s="9" t="s">
        <v>36</v>
      </c>
      <c r="I86" s="16" t="s">
        <v>51</v>
      </c>
      <c r="J86" s="16"/>
      <c r="K86" s="10" t="s">
        <v>38</v>
      </c>
      <c r="L86" s="11">
        <v>4</v>
      </c>
      <c r="M86" s="12">
        <v>160.5</v>
      </c>
      <c r="N86" s="11">
        <v>122</v>
      </c>
      <c r="O86" s="11">
        <v>43.1</v>
      </c>
      <c r="P86" s="11">
        <v>161</v>
      </c>
      <c r="Q86" s="11">
        <v>163</v>
      </c>
      <c r="R86" s="11">
        <v>190</v>
      </c>
      <c r="S86" s="13">
        <f>IF(TBL_PHV[[#This Row],[Sitzgröße gemessen]]="","",TBL_PHV[[#This Row],[Sitzgröße gemessen]]-$S$3)</f>
        <v>77</v>
      </c>
      <c r="T86" s="14">
        <f>IF(TBL_PHV[[#This Row],[Testdatum]]="","",YEARFRAC(TBL_PHV[[#This Row],[Geburtsdatum]],TBL_PHV[[#This Row],[Testdatum]]))</f>
        <v>13.872222222222222</v>
      </c>
      <c r="U86" s="13">
        <f>IF(TBL_PHV[[#This Row],[Sitzgröße berechnet]]="","",TBL_PHV[[#This Row],[Größe]]-TBL_PHV[[#This Row],[Sitzgröße berechnet]])</f>
        <v>83.5</v>
      </c>
      <c r="V86" s="14">
        <f>IF(TBL_PHV[[#This Row],[Gewicht]]="","",TBL_PHV[[#This Row],[Gewicht]]/(TBL_PHV[[#This Row],[Größe]]/100)^2)</f>
        <v>16.731204083811299</v>
      </c>
      <c r="W86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14.970082646183801</v>
      </c>
      <c r="X86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-1.0978604239615786</v>
      </c>
      <c r="Y86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87" spans="1:25" x14ac:dyDescent="0.25">
      <c r="A87">
        <v>81</v>
      </c>
      <c r="B87" s="8" t="s">
        <v>190</v>
      </c>
      <c r="C87" s="8" t="s">
        <v>191</v>
      </c>
      <c r="D87" s="8" t="str">
        <f>_xlfn.TEXTJOIN(" ",TRUE,TBL_PHV[[#This Row],[Vorname]],TBL_PHV[[#This Row],[Nachname]])</f>
        <v>David Wierschin</v>
      </c>
      <c r="E87" s="9">
        <v>39667</v>
      </c>
      <c r="F87" s="9">
        <v>44569</v>
      </c>
      <c r="G87" s="9" t="s">
        <v>35</v>
      </c>
      <c r="H87" s="9" t="s">
        <v>36</v>
      </c>
      <c r="I87" s="16" t="s">
        <v>51</v>
      </c>
      <c r="J87" s="16"/>
      <c r="K87" s="10" t="s">
        <v>38</v>
      </c>
      <c r="L87" s="11">
        <v>2</v>
      </c>
      <c r="M87" s="12">
        <v>181</v>
      </c>
      <c r="N87" s="11">
        <v>134</v>
      </c>
      <c r="O87" s="11">
        <v>77.599999999999994</v>
      </c>
      <c r="P87" s="11">
        <v>186</v>
      </c>
      <c r="Q87" s="11">
        <v>176</v>
      </c>
      <c r="R87" s="11">
        <v>178</v>
      </c>
      <c r="S87" s="13">
        <f>IF(TBL_PHV[[#This Row],[Sitzgröße gemessen]]="","",TBL_PHV[[#This Row],[Sitzgröße gemessen]]-$S$3)</f>
        <v>89</v>
      </c>
      <c r="T87" s="14">
        <f>IF(TBL_PHV[[#This Row],[Testdatum]]="","",YEARFRAC(TBL_PHV[[#This Row],[Geburtsdatum]],TBL_PHV[[#This Row],[Testdatum]]))</f>
        <v>13.419444444444444</v>
      </c>
      <c r="U87" s="13">
        <f>IF(TBL_PHV[[#This Row],[Sitzgröße berechnet]]="","",TBL_PHV[[#This Row],[Größe]]-TBL_PHV[[#This Row],[Sitzgröße berechnet]])</f>
        <v>92</v>
      </c>
      <c r="V87" s="14">
        <f>IF(TBL_PHV[[#This Row],[Gewicht]]="","",TBL_PHV[[#This Row],[Gewicht]]/(TBL_PHV[[#This Row],[Größe]]/100)^2)</f>
        <v>23.686700650163303</v>
      </c>
      <c r="W87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12.890318563965625</v>
      </c>
      <c r="X87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0.52912588047882003</v>
      </c>
      <c r="Y87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0.5 bis 1.5</v>
      </c>
    </row>
    <row r="88" spans="1:25" x14ac:dyDescent="0.25">
      <c r="A88">
        <v>82</v>
      </c>
      <c r="B88" s="8" t="s">
        <v>192</v>
      </c>
      <c r="C88" s="8" t="s">
        <v>193</v>
      </c>
      <c r="D88" s="8" t="str">
        <f>_xlfn.TEXTJOIN(" ",TRUE,TBL_PHV[[#This Row],[Vorname]],TBL_PHV[[#This Row],[Nachname]])</f>
        <v>Erik Gustuciu</v>
      </c>
      <c r="E88" s="9">
        <v>40142</v>
      </c>
      <c r="F88" s="9">
        <v>44569</v>
      </c>
      <c r="G88" s="9" t="s">
        <v>35</v>
      </c>
      <c r="H88" s="9" t="s">
        <v>36</v>
      </c>
      <c r="I88" s="16" t="s">
        <v>51</v>
      </c>
      <c r="J88" s="16"/>
      <c r="K88" s="10" t="s">
        <v>38</v>
      </c>
      <c r="L88" s="11">
        <v>3.5</v>
      </c>
      <c r="M88" s="12">
        <v>172.5</v>
      </c>
      <c r="N88" s="11">
        <v>127.5</v>
      </c>
      <c r="O88" s="11">
        <v>56.8</v>
      </c>
      <c r="P88" s="11">
        <v>171.5</v>
      </c>
      <c r="Q88" s="11">
        <v>181</v>
      </c>
      <c r="R88" s="11">
        <v>205</v>
      </c>
      <c r="S88" s="13">
        <f>IF(TBL_PHV[[#This Row],[Sitzgröße gemessen]]="","",TBL_PHV[[#This Row],[Sitzgröße gemessen]]-$S$3)</f>
        <v>82.5</v>
      </c>
      <c r="T88" s="14">
        <f>IF(TBL_PHV[[#This Row],[Testdatum]]="","",YEARFRAC(TBL_PHV[[#This Row],[Geburtsdatum]],TBL_PHV[[#This Row],[Testdatum]]))</f>
        <v>12.119444444444444</v>
      </c>
      <c r="U88" s="13">
        <f>IF(TBL_PHV[[#This Row],[Sitzgröße berechnet]]="","",TBL_PHV[[#This Row],[Größe]]-TBL_PHV[[#This Row],[Sitzgröße berechnet]])</f>
        <v>90</v>
      </c>
      <c r="V88" s="14">
        <f>IF(TBL_PHV[[#This Row],[Gewicht]]="","",TBL_PHV[[#This Row],[Gewicht]]/(TBL_PHV[[#This Row],[Größe]]/100)^2)</f>
        <v>19.088426801092204</v>
      </c>
      <c r="W88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13.189024897342994</v>
      </c>
      <c r="X88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-1.0695804528985509</v>
      </c>
      <c r="Y88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89" spans="1:25" x14ac:dyDescent="0.25">
      <c r="A89">
        <v>83</v>
      </c>
      <c r="B89" s="8" t="s">
        <v>194</v>
      </c>
      <c r="C89" s="8" t="s">
        <v>195</v>
      </c>
      <c r="D89" s="8" t="str">
        <f>_xlfn.TEXTJOIN(" ",TRUE,TBL_PHV[[#This Row],[Vorname]],TBL_PHV[[#This Row],[Nachname]])</f>
        <v>Emil  Rudolph</v>
      </c>
      <c r="E89" s="9">
        <v>40163</v>
      </c>
      <c r="F89" s="9">
        <v>44569</v>
      </c>
      <c r="G89" s="9" t="s">
        <v>35</v>
      </c>
      <c r="H89" s="9" t="s">
        <v>36</v>
      </c>
      <c r="I89" s="16" t="s">
        <v>51</v>
      </c>
      <c r="J89" s="16"/>
      <c r="K89" s="10" t="s">
        <v>38</v>
      </c>
      <c r="L89" s="11">
        <v>6</v>
      </c>
      <c r="M89" s="12">
        <v>171.5</v>
      </c>
      <c r="N89" s="11">
        <v>132</v>
      </c>
      <c r="O89" s="11">
        <v>55.7</v>
      </c>
      <c r="P89" s="11">
        <v>172.5</v>
      </c>
      <c r="Q89" s="11">
        <v>165</v>
      </c>
      <c r="R89" s="11">
        <v>180</v>
      </c>
      <c r="S89" s="13">
        <f>IF(TBL_PHV[[#This Row],[Sitzgröße gemessen]]="","",TBL_PHV[[#This Row],[Sitzgröße gemessen]]-$S$3)</f>
        <v>87</v>
      </c>
      <c r="T89" s="14">
        <f>IF(TBL_PHV[[#This Row],[Testdatum]]="","",YEARFRAC(TBL_PHV[[#This Row],[Geburtsdatum]],TBL_PHV[[#This Row],[Testdatum]]))</f>
        <v>12.061111111111112</v>
      </c>
      <c r="U89" s="13">
        <f>IF(TBL_PHV[[#This Row],[Sitzgröße berechnet]]="","",TBL_PHV[[#This Row],[Größe]]-TBL_PHV[[#This Row],[Sitzgröße berechnet]])</f>
        <v>84.5</v>
      </c>
      <c r="V89" s="14">
        <f>IF(TBL_PHV[[#This Row],[Gewicht]]="","",TBL_PHV[[#This Row],[Gewicht]]/(TBL_PHV[[#This Row],[Größe]]/100)^2)</f>
        <v>18.937687528155784</v>
      </c>
      <c r="W89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12.684926557847424</v>
      </c>
      <c r="X89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-0.62381544673631284</v>
      </c>
      <c r="Y89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90" spans="1:25" x14ac:dyDescent="0.25">
      <c r="A90">
        <v>84</v>
      </c>
      <c r="B90" s="8" t="s">
        <v>196</v>
      </c>
      <c r="C90" s="8" t="s">
        <v>122</v>
      </c>
      <c r="D90" s="8" t="str">
        <f>_xlfn.TEXTJOIN(" ",TRUE,TBL_PHV[[#This Row],[Vorname]],TBL_PHV[[#This Row],[Nachname]])</f>
        <v>Julian Klüsekamp</v>
      </c>
      <c r="E90" s="9">
        <v>39544</v>
      </c>
      <c r="F90" s="9">
        <v>44569</v>
      </c>
      <c r="G90" s="9" t="s">
        <v>35</v>
      </c>
      <c r="H90" s="9" t="s">
        <v>36</v>
      </c>
      <c r="I90" s="16" t="s">
        <v>51</v>
      </c>
      <c r="J90" s="16"/>
      <c r="K90" s="10" t="s">
        <v>38</v>
      </c>
      <c r="L90" s="11">
        <v>5</v>
      </c>
      <c r="M90" s="12">
        <v>175.5</v>
      </c>
      <c r="N90" s="11">
        <v>134</v>
      </c>
      <c r="O90" s="11">
        <v>80.599999999999994</v>
      </c>
      <c r="P90" s="11">
        <v>173</v>
      </c>
      <c r="Q90" s="11">
        <v>160</v>
      </c>
      <c r="R90" s="11">
        <v>203</v>
      </c>
      <c r="S90" s="13">
        <f>IF(TBL_PHV[[#This Row],[Sitzgröße gemessen]]="","",TBL_PHV[[#This Row],[Sitzgröße gemessen]]-$S$3)</f>
        <v>89</v>
      </c>
      <c r="T90" s="14">
        <f>IF(TBL_PHV[[#This Row],[Testdatum]]="","",YEARFRAC(TBL_PHV[[#This Row],[Geburtsdatum]],TBL_PHV[[#This Row],[Testdatum]]))</f>
        <v>13.755555555555556</v>
      </c>
      <c r="U90" s="13">
        <f>IF(TBL_PHV[[#This Row],[Sitzgröße berechnet]]="","",TBL_PHV[[#This Row],[Größe]]-TBL_PHV[[#This Row],[Sitzgröße berechnet]])</f>
        <v>86.5</v>
      </c>
      <c r="V90" s="14">
        <f>IF(TBL_PHV[[#This Row],[Gewicht]]="","",TBL_PHV[[#This Row],[Gewicht]]/(TBL_PHV[[#This Row],[Größe]]/100)^2)</f>
        <v>26.168618761211356</v>
      </c>
      <c r="W90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12.998761411111113</v>
      </c>
      <c r="X90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0.75679414444444282</v>
      </c>
      <c r="Y90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0.5 bis 1.5</v>
      </c>
    </row>
    <row r="91" spans="1:25" x14ac:dyDescent="0.25">
      <c r="A91">
        <v>86</v>
      </c>
      <c r="B91" s="8" t="s">
        <v>199</v>
      </c>
      <c r="C91" s="8" t="s">
        <v>122</v>
      </c>
      <c r="D91" s="8" t="str">
        <f>_xlfn.TEXTJOIN(" ",TRUE,TBL_PHV[[#This Row],[Vorname]],TBL_PHV[[#This Row],[Nachname]])</f>
        <v>Julian Düppe</v>
      </c>
      <c r="E91" s="9">
        <v>39932</v>
      </c>
      <c r="F91" s="9">
        <v>44569</v>
      </c>
      <c r="G91" s="9" t="s">
        <v>35</v>
      </c>
      <c r="H91" s="9" t="s">
        <v>36</v>
      </c>
      <c r="I91" s="16" t="s">
        <v>51</v>
      </c>
      <c r="J91" s="16"/>
      <c r="K91" s="10" t="s">
        <v>38</v>
      </c>
      <c r="L91" s="11">
        <v>2</v>
      </c>
      <c r="M91" s="12">
        <v>165</v>
      </c>
      <c r="N91" s="11">
        <v>130</v>
      </c>
      <c r="O91" s="11">
        <v>53.1</v>
      </c>
      <c r="P91" s="11">
        <v>156</v>
      </c>
      <c r="Q91" s="11">
        <v>173</v>
      </c>
      <c r="R91" s="11">
        <v>184</v>
      </c>
      <c r="S91" s="13">
        <f>IF(TBL_PHV[[#This Row],[Sitzgröße gemessen]]="","",TBL_PHV[[#This Row],[Sitzgröße gemessen]]-$S$3)</f>
        <v>85</v>
      </c>
      <c r="T91" s="14">
        <f>IF(TBL_PHV[[#This Row],[Testdatum]]="","",YEARFRAC(TBL_PHV[[#This Row],[Geburtsdatum]],TBL_PHV[[#This Row],[Testdatum]]))</f>
        <v>12.691666666666666</v>
      </c>
      <c r="U91" s="13">
        <f>IF(TBL_PHV[[#This Row],[Sitzgröße berechnet]]="","",TBL_PHV[[#This Row],[Größe]]-TBL_PHV[[#This Row],[Sitzgröße berechnet]])</f>
        <v>80</v>
      </c>
      <c r="V91" s="14">
        <f>IF(TBL_PHV[[#This Row],[Gewicht]]="","",TBL_PHV[[#This Row],[Gewicht]]/(TBL_PHV[[#This Row],[Größe]]/100)^2)</f>
        <v>19.504132231404963</v>
      </c>
      <c r="W91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13.252558060606059</v>
      </c>
      <c r="X91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-0.56089139393939347</v>
      </c>
      <c r="Y91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92" spans="1:25" x14ac:dyDescent="0.25">
      <c r="A92">
        <v>87</v>
      </c>
      <c r="B92" s="8" t="s">
        <v>200</v>
      </c>
      <c r="C92" s="8" t="s">
        <v>201</v>
      </c>
      <c r="D92" s="8" t="str">
        <f>_xlfn.TEXTJOIN(" ",TRUE,TBL_PHV[[#This Row],[Vorname]],TBL_PHV[[#This Row],[Nachname]])</f>
        <v>Dimitrios Tsiokas</v>
      </c>
      <c r="E92" s="9">
        <v>39647</v>
      </c>
      <c r="F92" s="9">
        <v>44569</v>
      </c>
      <c r="G92" s="9" t="s">
        <v>35</v>
      </c>
      <c r="H92" s="9" t="s">
        <v>36</v>
      </c>
      <c r="I92" s="16" t="s">
        <v>51</v>
      </c>
      <c r="J92" s="16"/>
      <c r="K92" s="10" t="s">
        <v>38</v>
      </c>
      <c r="L92" s="11">
        <v>5.5</v>
      </c>
      <c r="M92" s="12">
        <v>191</v>
      </c>
      <c r="N92" s="11">
        <v>136</v>
      </c>
      <c r="O92" s="11">
        <v>67.3</v>
      </c>
      <c r="P92" s="11">
        <v>192</v>
      </c>
      <c r="Q92" s="11">
        <v>178</v>
      </c>
      <c r="R92" s="11">
        <v>197</v>
      </c>
      <c r="S92" s="13">
        <f>IF(TBL_PHV[[#This Row],[Sitzgröße gemessen]]="","",TBL_PHV[[#This Row],[Sitzgröße gemessen]]-$S$3)</f>
        <v>91</v>
      </c>
      <c r="T92" s="14">
        <f>IF(TBL_PHV[[#This Row],[Testdatum]]="","",YEARFRAC(TBL_PHV[[#This Row],[Geburtsdatum]],TBL_PHV[[#This Row],[Testdatum]]))</f>
        <v>13.472222222222221</v>
      </c>
      <c r="U92" s="13">
        <f>IF(TBL_PHV[[#This Row],[Sitzgröße berechnet]]="","",TBL_PHV[[#This Row],[Größe]]-TBL_PHV[[#This Row],[Sitzgröße berechnet]])</f>
        <v>100</v>
      </c>
      <c r="V92" s="14">
        <f>IF(TBL_PHV[[#This Row],[Gewicht]]="","",TBL_PHV[[#This Row],[Gewicht]]/(TBL_PHV[[#This Row],[Größe]]/100)^2)</f>
        <v>18.447959211644417</v>
      </c>
      <c r="W92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12.830157222222221</v>
      </c>
      <c r="X92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0.64206499999999977</v>
      </c>
      <c r="Y92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0.5 bis 1.5</v>
      </c>
    </row>
    <row r="93" spans="1:25" x14ac:dyDescent="0.25">
      <c r="A93">
        <v>88</v>
      </c>
      <c r="B93" s="8" t="s">
        <v>172</v>
      </c>
      <c r="C93" s="8" t="s">
        <v>202</v>
      </c>
      <c r="D93" s="8" t="str">
        <f>_xlfn.TEXTJOIN(" ",TRUE,TBL_PHV[[#This Row],[Vorname]],TBL_PHV[[#This Row],[Nachname]])</f>
        <v>Nikolos Chantladze</v>
      </c>
      <c r="E93" s="9">
        <v>39954</v>
      </c>
      <c r="F93" s="9">
        <v>44569</v>
      </c>
      <c r="G93" s="9" t="s">
        <v>35</v>
      </c>
      <c r="H93" s="9" t="s">
        <v>36</v>
      </c>
      <c r="I93" s="16" t="s">
        <v>51</v>
      </c>
      <c r="J93" s="16"/>
      <c r="K93" s="10" t="s">
        <v>38</v>
      </c>
      <c r="L93" s="11">
        <v>3</v>
      </c>
      <c r="M93" s="12">
        <v>147.5</v>
      </c>
      <c r="N93" s="11">
        <v>116</v>
      </c>
      <c r="O93" s="11">
        <v>60.7</v>
      </c>
      <c r="P93" s="11">
        <v>147</v>
      </c>
      <c r="Q93" s="11">
        <v>167</v>
      </c>
      <c r="R93" s="11">
        <v>185</v>
      </c>
      <c r="S93" s="13">
        <f>IF(TBL_PHV[[#This Row],[Sitzgröße gemessen]]="","",TBL_PHV[[#This Row],[Sitzgröße gemessen]]-$S$3)</f>
        <v>71</v>
      </c>
      <c r="T93" s="14">
        <f>IF(TBL_PHV[[#This Row],[Testdatum]]="","",YEARFRAC(TBL_PHV[[#This Row],[Geburtsdatum]],TBL_PHV[[#This Row],[Testdatum]]))</f>
        <v>12.630555555555556</v>
      </c>
      <c r="U93" s="13">
        <f>IF(TBL_PHV[[#This Row],[Sitzgröße berechnet]]="","",TBL_PHV[[#This Row],[Größe]]-TBL_PHV[[#This Row],[Sitzgröße berechnet]])</f>
        <v>76.5</v>
      </c>
      <c r="V93" s="14">
        <f>IF(TBL_PHV[[#This Row],[Gewicht]]="","",TBL_PHV[[#This Row],[Gewicht]]/(TBL_PHV[[#This Row],[Größe]]/100)^2)</f>
        <v>27.90002872737719</v>
      </c>
      <c r="W93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14.588253735758006</v>
      </c>
      <c r="X93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-1.9576981802024485</v>
      </c>
      <c r="Y93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 bis -1.5</v>
      </c>
    </row>
    <row r="94" spans="1:25" x14ac:dyDescent="0.25">
      <c r="A94">
        <v>89</v>
      </c>
      <c r="B94" s="8" t="s">
        <v>90</v>
      </c>
      <c r="C94" s="8" t="s">
        <v>82</v>
      </c>
      <c r="D94" s="8" t="str">
        <f>_xlfn.TEXTJOIN(" ",TRUE,TBL_PHV[[#This Row],[Vorname]],TBL_PHV[[#This Row],[Nachname]])</f>
        <v>Levi Fliegenschmidt</v>
      </c>
      <c r="E94" s="9">
        <v>39914</v>
      </c>
      <c r="F94" s="9">
        <v>44569</v>
      </c>
      <c r="G94" s="9" t="s">
        <v>35</v>
      </c>
      <c r="H94" s="9" t="s">
        <v>36</v>
      </c>
      <c r="I94" s="16" t="s">
        <v>51</v>
      </c>
      <c r="J94" s="16"/>
      <c r="K94" s="10" t="s">
        <v>38</v>
      </c>
      <c r="L94" s="11">
        <v>3</v>
      </c>
      <c r="M94" s="12">
        <v>150.5</v>
      </c>
      <c r="N94" s="11">
        <v>119.5</v>
      </c>
      <c r="O94" s="11">
        <v>33.9</v>
      </c>
      <c r="P94" s="11">
        <v>142</v>
      </c>
      <c r="Q94" s="11">
        <v>170</v>
      </c>
      <c r="R94" s="11">
        <v>190</v>
      </c>
      <c r="S94" s="13">
        <f>IF(TBL_PHV[[#This Row],[Sitzgröße gemessen]]="","",TBL_PHV[[#This Row],[Sitzgröße gemessen]]-$S$3)</f>
        <v>74.5</v>
      </c>
      <c r="T94" s="14">
        <f>IF(TBL_PHV[[#This Row],[Testdatum]]="","",YEARFRAC(TBL_PHV[[#This Row],[Geburtsdatum]],TBL_PHV[[#This Row],[Testdatum]]))</f>
        <v>12.741666666666667</v>
      </c>
      <c r="U94" s="13">
        <f>IF(TBL_PHV[[#This Row],[Sitzgröße berechnet]]="","",TBL_PHV[[#This Row],[Größe]]-TBL_PHV[[#This Row],[Sitzgröße berechnet]])</f>
        <v>76</v>
      </c>
      <c r="V94" s="14">
        <f>IF(TBL_PHV[[#This Row],[Gewicht]]="","",TBL_PHV[[#This Row],[Gewicht]]/(TBL_PHV[[#This Row],[Größe]]/100)^2)</f>
        <v>14.966722221609034</v>
      </c>
      <c r="W94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14.688701670321151</v>
      </c>
      <c r="X94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-1.9470350036544839</v>
      </c>
      <c r="Y94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 bis -1.5</v>
      </c>
    </row>
    <row r="95" spans="1:25" x14ac:dyDescent="0.25">
      <c r="A95">
        <v>97</v>
      </c>
      <c r="B95" s="8" t="s">
        <v>215</v>
      </c>
      <c r="C95" s="8" t="s">
        <v>216</v>
      </c>
      <c r="D95" s="8" t="str">
        <f>_xlfn.TEXTJOIN(" ",TRUE,TBL_PHV[[#This Row],[Vorname]],TBL_PHV[[#This Row],[Nachname]])</f>
        <v>Carl Seitz</v>
      </c>
      <c r="E95" s="9">
        <v>39873</v>
      </c>
      <c r="F95" s="9">
        <v>44569</v>
      </c>
      <c r="G95" s="9" t="s">
        <v>35</v>
      </c>
      <c r="H95" s="9" t="s">
        <v>36</v>
      </c>
      <c r="I95" s="16" t="s">
        <v>51</v>
      </c>
      <c r="J95" s="16"/>
      <c r="K95" s="10" t="s">
        <v>38</v>
      </c>
      <c r="L95" s="11">
        <v>5</v>
      </c>
      <c r="M95" s="12">
        <v>154.5</v>
      </c>
      <c r="N95" s="11">
        <v>123.5</v>
      </c>
      <c r="O95" s="11">
        <v>40.4</v>
      </c>
      <c r="P95" s="11">
        <v>148</v>
      </c>
      <c r="Q95" s="11">
        <v>165</v>
      </c>
      <c r="R95" s="11">
        <v>175</v>
      </c>
      <c r="S95" s="13">
        <f>IF(TBL_PHV[[#This Row],[Sitzgröße gemessen]]="","",TBL_PHV[[#This Row],[Sitzgröße gemessen]]-$S$3)</f>
        <v>78.5</v>
      </c>
      <c r="T95" s="14">
        <f>IF(TBL_PHV[[#This Row],[Testdatum]]="","",YEARFRAC(TBL_PHV[[#This Row],[Geburtsdatum]],TBL_PHV[[#This Row],[Testdatum]]))</f>
        <v>12.852777777777778</v>
      </c>
      <c r="U95" s="13">
        <f>IF(TBL_PHV[[#This Row],[Sitzgröße berechnet]]="","",TBL_PHV[[#This Row],[Größe]]-TBL_PHV[[#This Row],[Sitzgröße berechnet]])</f>
        <v>76</v>
      </c>
      <c r="V95" s="14">
        <f>IF(TBL_PHV[[#This Row],[Gewicht]]="","",TBL_PHV[[#This Row],[Gewicht]]/(TBL_PHV[[#This Row],[Größe]]/100)^2)</f>
        <v>16.924833212890523</v>
      </c>
      <c r="W95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14.217756727831716</v>
      </c>
      <c r="X95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-1.3649789500539378</v>
      </c>
      <c r="Y95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96" spans="1:25" x14ac:dyDescent="0.25">
      <c r="A96">
        <v>101</v>
      </c>
      <c r="B96" s="8" t="s">
        <v>222</v>
      </c>
      <c r="C96" s="8" t="s">
        <v>223</v>
      </c>
      <c r="D96" s="8" t="str">
        <f>_xlfn.TEXTJOIN(" ",TRUE,TBL_PHV[[#This Row],[Vorname]],TBL_PHV[[#This Row],[Nachname]])</f>
        <v>Alper Palali</v>
      </c>
      <c r="E96" s="9">
        <v>39476</v>
      </c>
      <c r="F96" s="9">
        <v>44569</v>
      </c>
      <c r="G96" s="9" t="s">
        <v>35</v>
      </c>
      <c r="H96" s="9" t="s">
        <v>36</v>
      </c>
      <c r="I96" s="16" t="s">
        <v>51</v>
      </c>
      <c r="J96" s="16"/>
      <c r="K96" s="10" t="s">
        <v>38</v>
      </c>
      <c r="L96" s="11">
        <v>3</v>
      </c>
      <c r="M96" s="12">
        <v>165.5</v>
      </c>
      <c r="N96" s="11">
        <v>126</v>
      </c>
      <c r="O96" s="11">
        <v>58.3</v>
      </c>
      <c r="P96" s="11">
        <v>171</v>
      </c>
      <c r="Q96" s="11">
        <v>169</v>
      </c>
      <c r="R96" s="11">
        <v>182</v>
      </c>
      <c r="S96" s="13">
        <f>IF(TBL_PHV[[#This Row],[Sitzgröße gemessen]]="","",TBL_PHV[[#This Row],[Sitzgröße gemessen]]-$S$3)</f>
        <v>81</v>
      </c>
      <c r="T96" s="14">
        <f>IF(TBL_PHV[[#This Row],[Testdatum]]="","",YEARFRAC(TBL_PHV[[#This Row],[Geburtsdatum]],TBL_PHV[[#This Row],[Testdatum]]))</f>
        <v>13.941666666666666</v>
      </c>
      <c r="U96" s="13">
        <f>IF(TBL_PHV[[#This Row],[Sitzgröße berechnet]]="","",TBL_PHV[[#This Row],[Größe]]-TBL_PHV[[#This Row],[Sitzgröße berechnet]])</f>
        <v>84.5</v>
      </c>
      <c r="V96" s="14">
        <f>IF(TBL_PHV[[#This Row],[Gewicht]]="","",TBL_PHV[[#This Row],[Gewicht]]/(TBL_PHV[[#This Row],[Größe]]/100)^2)</f>
        <v>21.284946285630834</v>
      </c>
      <c r="W96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14.327066109025679</v>
      </c>
      <c r="X96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-0.38539944235901225</v>
      </c>
      <c r="Y96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-0.5 bis 0.5</v>
      </c>
    </row>
    <row r="97" spans="1:25" x14ac:dyDescent="0.25">
      <c r="A97">
        <v>90</v>
      </c>
      <c r="B97" s="8" t="s">
        <v>203</v>
      </c>
      <c r="C97" s="8" t="s">
        <v>95</v>
      </c>
      <c r="D97" s="8" t="str">
        <f>_xlfn.TEXTJOIN(" ",TRUE,TBL_PHV[[#This Row],[Vorname]],TBL_PHV[[#This Row],[Nachname]])</f>
        <v>Paul Wagner</v>
      </c>
      <c r="E97" s="9">
        <v>39728</v>
      </c>
      <c r="F97" s="9">
        <v>44569</v>
      </c>
      <c r="G97" s="9" t="s">
        <v>35</v>
      </c>
      <c r="H97" s="9" t="s">
        <v>36</v>
      </c>
      <c r="I97" s="16" t="s">
        <v>204</v>
      </c>
      <c r="J97" s="16"/>
      <c r="K97" s="10" t="s">
        <v>38</v>
      </c>
      <c r="L97" s="11">
        <v>4</v>
      </c>
      <c r="M97" s="12">
        <v>160</v>
      </c>
      <c r="N97" s="11">
        <v>125</v>
      </c>
      <c r="O97" s="11">
        <v>45.3</v>
      </c>
      <c r="P97" s="11">
        <v>158</v>
      </c>
      <c r="Q97" s="11">
        <v>168</v>
      </c>
      <c r="R97" s="11">
        <v>176</v>
      </c>
      <c r="S97" s="13">
        <f>IF(TBL_PHV[[#This Row],[Sitzgröße gemessen]]="","",TBL_PHV[[#This Row],[Sitzgröße gemessen]]-$S$3)</f>
        <v>80</v>
      </c>
      <c r="T97" s="14">
        <f>IF(TBL_PHV[[#This Row],[Testdatum]]="","",YEARFRAC(TBL_PHV[[#This Row],[Geburtsdatum]],TBL_PHV[[#This Row],[Testdatum]]))</f>
        <v>13.252777777777778</v>
      </c>
      <c r="U97" s="13">
        <f>IF(TBL_PHV[[#This Row],[Sitzgröße berechnet]]="","",TBL_PHV[[#This Row],[Größe]]-TBL_PHV[[#This Row],[Sitzgröße berechnet]])</f>
        <v>80</v>
      </c>
      <c r="V97" s="14">
        <f>IF(TBL_PHV[[#This Row],[Gewicht]]="","",TBL_PHV[[#This Row],[Gewicht]]/(TBL_PHV[[#This Row],[Größe]]/100)^2)</f>
        <v>17.695312499999996</v>
      </c>
      <c r="W97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14.219321277777777</v>
      </c>
      <c r="X97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-0.96654349999999889</v>
      </c>
      <c r="Y97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98" spans="1:25" x14ac:dyDescent="0.25">
      <c r="A98">
        <v>91</v>
      </c>
      <c r="B98" s="8" t="s">
        <v>205</v>
      </c>
      <c r="C98" s="8" t="s">
        <v>159</v>
      </c>
      <c r="D98" s="8" t="str">
        <f>_xlfn.TEXTJOIN(" ",TRUE,TBL_PHV[[#This Row],[Vorname]],TBL_PHV[[#This Row],[Nachname]])</f>
        <v>Leon Gowitzke</v>
      </c>
      <c r="E98" s="9">
        <v>39826</v>
      </c>
      <c r="F98" s="9">
        <v>44569</v>
      </c>
      <c r="G98" s="9" t="s">
        <v>35</v>
      </c>
      <c r="H98" s="9" t="s">
        <v>36</v>
      </c>
      <c r="I98" s="16" t="s">
        <v>204</v>
      </c>
      <c r="J98" s="16"/>
      <c r="K98" s="10" t="s">
        <v>38</v>
      </c>
      <c r="L98" s="11">
        <v>4</v>
      </c>
      <c r="M98" s="12">
        <v>167</v>
      </c>
      <c r="N98" s="11">
        <v>127</v>
      </c>
      <c r="O98" s="11">
        <v>84.1</v>
      </c>
      <c r="P98" s="11">
        <v>162</v>
      </c>
      <c r="Q98" s="11">
        <v>169</v>
      </c>
      <c r="R98" s="11">
        <v>185</v>
      </c>
      <c r="S98" s="13">
        <f>IF(TBL_PHV[[#This Row],[Sitzgröße gemessen]]="","",TBL_PHV[[#This Row],[Sitzgröße gemessen]]-$S$3)</f>
        <v>82</v>
      </c>
      <c r="T98" s="14">
        <f>IF(TBL_PHV[[#This Row],[Testdatum]]="","",YEARFRAC(TBL_PHV[[#This Row],[Geburtsdatum]],TBL_PHV[[#This Row],[Testdatum]]))</f>
        <v>12.986111111111111</v>
      </c>
      <c r="U98" s="13">
        <f>IF(TBL_PHV[[#This Row],[Sitzgröße berechnet]]="","",TBL_PHV[[#This Row],[Größe]]-TBL_PHV[[#This Row],[Sitzgröße berechnet]])</f>
        <v>85</v>
      </c>
      <c r="V98" s="14">
        <f>IF(TBL_PHV[[#This Row],[Gewicht]]="","",TBL_PHV[[#This Row],[Gewicht]]/(TBL_PHV[[#This Row],[Größe]]/100)^2)</f>
        <v>30.155258345584279</v>
      </c>
      <c r="W98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13.332014338905521</v>
      </c>
      <c r="X98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-0.34590322779441118</v>
      </c>
      <c r="Y98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-0.5 bis 0.5</v>
      </c>
    </row>
    <row r="99" spans="1:25" x14ac:dyDescent="0.25">
      <c r="A99">
        <v>92</v>
      </c>
      <c r="B99" s="8" t="s">
        <v>206</v>
      </c>
      <c r="C99" s="8" t="s">
        <v>207</v>
      </c>
      <c r="D99" s="8" t="str">
        <f>_xlfn.TEXTJOIN(" ",TRUE,TBL_PHV[[#This Row],[Vorname]],TBL_PHV[[#This Row],[Nachname]])</f>
        <v>Yanis Böer</v>
      </c>
      <c r="E99" s="9">
        <v>39541</v>
      </c>
      <c r="F99" s="9">
        <v>44569</v>
      </c>
      <c r="G99" s="9" t="s">
        <v>35</v>
      </c>
      <c r="H99" s="9" t="s">
        <v>36</v>
      </c>
      <c r="I99" s="16" t="s">
        <v>204</v>
      </c>
      <c r="J99" s="16"/>
      <c r="K99" s="10" t="s">
        <v>38</v>
      </c>
      <c r="L99" s="11">
        <v>2.5</v>
      </c>
      <c r="M99" s="12">
        <v>169</v>
      </c>
      <c r="N99" s="11">
        <v>127.5</v>
      </c>
      <c r="O99" s="11">
        <v>59.4</v>
      </c>
      <c r="P99" s="11">
        <v>173</v>
      </c>
      <c r="Q99" s="11">
        <v>160</v>
      </c>
      <c r="R99" s="11">
        <v>183</v>
      </c>
      <c r="S99" s="13">
        <f>IF(TBL_PHV[[#This Row],[Sitzgröße gemessen]]="","",TBL_PHV[[#This Row],[Sitzgröße gemessen]]-$S$3)</f>
        <v>82.5</v>
      </c>
      <c r="T99" s="14">
        <f>IF(TBL_PHV[[#This Row],[Testdatum]]="","",YEARFRAC(TBL_PHV[[#This Row],[Geburtsdatum]],TBL_PHV[[#This Row],[Testdatum]]))</f>
        <v>13.763888888888889</v>
      </c>
      <c r="U99" s="13">
        <f>IF(TBL_PHV[[#This Row],[Sitzgröße berechnet]]="","",TBL_PHV[[#This Row],[Größe]]-TBL_PHV[[#This Row],[Sitzgröße berechnet]])</f>
        <v>86.5</v>
      </c>
      <c r="V99" s="14">
        <f>IF(TBL_PHV[[#This Row],[Gewicht]]="","",TBL_PHV[[#This Row],[Gewicht]]/(TBL_PHV[[#This Row],[Größe]]/100)^2)</f>
        <v>20.79759112075908</v>
      </c>
      <c r="W99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14.047812057733399</v>
      </c>
      <c r="X99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-0.28392316884450985</v>
      </c>
      <c r="Y99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-0.5 bis 0.5</v>
      </c>
    </row>
    <row r="100" spans="1:25" x14ac:dyDescent="0.25">
      <c r="A100">
        <v>93</v>
      </c>
      <c r="B100" s="8" t="s">
        <v>208</v>
      </c>
      <c r="C100" s="8" t="s">
        <v>209</v>
      </c>
      <c r="D100" s="8" t="str">
        <f>_xlfn.TEXTJOIN(" ",TRUE,TBL_PHV[[#This Row],[Vorname]],TBL_PHV[[#This Row],[Nachname]])</f>
        <v>Malik Cipion</v>
      </c>
      <c r="E100" s="9">
        <v>39634</v>
      </c>
      <c r="F100" s="9">
        <v>44569</v>
      </c>
      <c r="G100" s="9" t="s">
        <v>35</v>
      </c>
      <c r="H100" s="9" t="s">
        <v>36</v>
      </c>
      <c r="I100" s="16" t="s">
        <v>204</v>
      </c>
      <c r="J100" s="16"/>
      <c r="K100" s="10" t="s">
        <v>38</v>
      </c>
      <c r="L100" s="11">
        <v>1.5</v>
      </c>
      <c r="M100" s="12">
        <v>173.5</v>
      </c>
      <c r="N100" s="11">
        <v>129.5</v>
      </c>
      <c r="O100" s="11">
        <v>52.8</v>
      </c>
      <c r="P100" s="11">
        <v>171.5</v>
      </c>
      <c r="Q100" s="11">
        <v>168</v>
      </c>
      <c r="R100" s="11">
        <v>183</v>
      </c>
      <c r="S100" s="13">
        <f>IF(TBL_PHV[[#This Row],[Sitzgröße gemessen]]="","",TBL_PHV[[#This Row],[Sitzgröße gemessen]]-$S$3)</f>
        <v>84.5</v>
      </c>
      <c r="T100" s="14">
        <f>IF(TBL_PHV[[#This Row],[Testdatum]]="","",YEARFRAC(TBL_PHV[[#This Row],[Geburtsdatum]],TBL_PHV[[#This Row],[Testdatum]]))</f>
        <v>13.508333333333333</v>
      </c>
      <c r="U100" s="13">
        <f>IF(TBL_PHV[[#This Row],[Sitzgröße berechnet]]="","",TBL_PHV[[#This Row],[Größe]]-TBL_PHV[[#This Row],[Sitzgröße berechnet]])</f>
        <v>89</v>
      </c>
      <c r="V100" s="14">
        <f>IF(TBL_PHV[[#This Row],[Gewicht]]="","",TBL_PHV[[#This Row],[Gewicht]]/(TBL_PHV[[#This Row],[Größe]]/100)^2)</f>
        <v>17.540217093406635</v>
      </c>
      <c r="W100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13.772868777353507</v>
      </c>
      <c r="X100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-0.26453544402017326</v>
      </c>
      <c r="Y100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-0.5 bis 0.5</v>
      </c>
    </row>
    <row r="101" spans="1:25" x14ac:dyDescent="0.25">
      <c r="A101">
        <v>94</v>
      </c>
      <c r="B101" s="8" t="s">
        <v>210</v>
      </c>
      <c r="C101" s="8" t="s">
        <v>193</v>
      </c>
      <c r="D101" s="8" t="str">
        <f>_xlfn.TEXTJOIN(" ",TRUE,TBL_PHV[[#This Row],[Vorname]],TBL_PHV[[#This Row],[Nachname]])</f>
        <v>Erik Kleindienst</v>
      </c>
      <c r="E101" s="9">
        <v>39958</v>
      </c>
      <c r="F101" s="9">
        <v>44569</v>
      </c>
      <c r="G101" s="9" t="s">
        <v>35</v>
      </c>
      <c r="H101" s="9" t="s">
        <v>36</v>
      </c>
      <c r="I101" s="16" t="s">
        <v>204</v>
      </c>
      <c r="J101" s="16"/>
      <c r="K101" s="10" t="s">
        <v>38</v>
      </c>
      <c r="L101" s="11">
        <v>0.5</v>
      </c>
      <c r="M101" s="12">
        <v>151</v>
      </c>
      <c r="N101" s="11">
        <v>119</v>
      </c>
      <c r="O101" s="11">
        <v>41.9</v>
      </c>
      <c r="P101" s="11">
        <v>151</v>
      </c>
      <c r="Q101" s="11">
        <v>173</v>
      </c>
      <c r="R101" s="11">
        <v>197</v>
      </c>
      <c r="S101" s="13">
        <f>IF(TBL_PHV[[#This Row],[Sitzgröße gemessen]]="","",TBL_PHV[[#This Row],[Sitzgröße gemessen]]-$S$3)</f>
        <v>74</v>
      </c>
      <c r="T101" s="14">
        <f>IF(TBL_PHV[[#This Row],[Testdatum]]="","",YEARFRAC(TBL_PHV[[#This Row],[Geburtsdatum]],TBL_PHV[[#This Row],[Testdatum]]))</f>
        <v>12.619444444444444</v>
      </c>
      <c r="U101" s="13">
        <f>IF(TBL_PHV[[#This Row],[Sitzgröße berechnet]]="","",TBL_PHV[[#This Row],[Größe]]-TBL_PHV[[#This Row],[Sitzgröße berechnet]])</f>
        <v>77</v>
      </c>
      <c r="V101" s="14">
        <f>IF(TBL_PHV[[#This Row],[Gewicht]]="","",TBL_PHV[[#This Row],[Gewicht]]/(TBL_PHV[[#This Row],[Größe]]/100)^2)</f>
        <v>18.376387000570151</v>
      </c>
      <c r="W101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14.553785049797646</v>
      </c>
      <c r="X101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-1.9343406053532026</v>
      </c>
      <c r="Y101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 bis -1.5</v>
      </c>
    </row>
    <row r="102" spans="1:25" x14ac:dyDescent="0.25">
      <c r="A102">
        <v>95</v>
      </c>
      <c r="B102" s="8" t="s">
        <v>211</v>
      </c>
      <c r="C102" s="8" t="s">
        <v>212</v>
      </c>
      <c r="D102" s="8" t="str">
        <f>_xlfn.TEXTJOIN(" ",TRUE,TBL_PHV[[#This Row],[Vorname]],TBL_PHV[[#This Row],[Nachname]])</f>
        <v>Jason Schulze</v>
      </c>
      <c r="E102" s="9">
        <v>39490</v>
      </c>
      <c r="F102" s="9">
        <v>44569</v>
      </c>
      <c r="G102" s="9" t="s">
        <v>35</v>
      </c>
      <c r="H102" s="9" t="s">
        <v>36</v>
      </c>
      <c r="I102" s="16" t="s">
        <v>204</v>
      </c>
      <c r="J102" s="16"/>
      <c r="K102" s="10" t="s">
        <v>38</v>
      </c>
      <c r="L102" s="11">
        <v>0.5</v>
      </c>
      <c r="M102" s="12">
        <v>166</v>
      </c>
      <c r="N102" s="11">
        <v>128</v>
      </c>
      <c r="O102" s="11">
        <v>56.1</v>
      </c>
      <c r="P102" s="11">
        <v>164</v>
      </c>
      <c r="Q102" s="11">
        <v>150</v>
      </c>
      <c r="R102" s="11">
        <v>175</v>
      </c>
      <c r="S102" s="13">
        <f>IF(TBL_PHV[[#This Row],[Sitzgröße gemessen]]="","",TBL_PHV[[#This Row],[Sitzgröße gemessen]]-$S$3)</f>
        <v>83</v>
      </c>
      <c r="T102" s="14">
        <f>IF(TBL_PHV[[#This Row],[Testdatum]]="","",YEARFRAC(TBL_PHV[[#This Row],[Geburtsdatum]],TBL_PHV[[#This Row],[Testdatum]]))</f>
        <v>13.905555555555555</v>
      </c>
      <c r="U102" s="13">
        <f>IF(TBL_PHV[[#This Row],[Sitzgröße berechnet]]="","",TBL_PHV[[#This Row],[Größe]]-TBL_PHV[[#This Row],[Sitzgröße berechnet]])</f>
        <v>83</v>
      </c>
      <c r="V102" s="14">
        <f>IF(TBL_PHV[[#This Row],[Gewicht]]="","",TBL_PHV[[#This Row],[Gewicht]]/(TBL_PHV[[#This Row],[Größe]]/100)^2)</f>
        <v>20.358542604151548</v>
      </c>
      <c r="W102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14.09237216338688</v>
      </c>
      <c r="X102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-0.18681660783132492</v>
      </c>
      <c r="Y102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-0.5 bis 0.5</v>
      </c>
    </row>
    <row r="103" spans="1:25" x14ac:dyDescent="0.25">
      <c r="A103">
        <v>96</v>
      </c>
      <c r="B103" s="8" t="s">
        <v>213</v>
      </c>
      <c r="C103" s="8" t="s">
        <v>214</v>
      </c>
      <c r="D103" s="8" t="str">
        <f>_xlfn.TEXTJOIN(" ",TRUE,TBL_PHV[[#This Row],[Vorname]],TBL_PHV[[#This Row],[Nachname]])</f>
        <v>Juri Glockner</v>
      </c>
      <c r="E103" s="9">
        <v>40138</v>
      </c>
      <c r="F103" s="9">
        <v>44569</v>
      </c>
      <c r="G103" s="9" t="s">
        <v>35</v>
      </c>
      <c r="H103" s="9" t="s">
        <v>36</v>
      </c>
      <c r="I103" s="16" t="s">
        <v>204</v>
      </c>
      <c r="J103" s="16"/>
      <c r="K103" s="10" t="s">
        <v>38</v>
      </c>
      <c r="L103" s="11">
        <v>3</v>
      </c>
      <c r="M103" s="12">
        <v>169.5</v>
      </c>
      <c r="N103" s="11">
        <v>125</v>
      </c>
      <c r="O103" s="11">
        <v>67.099999999999994</v>
      </c>
      <c r="P103" s="11">
        <v>167.5</v>
      </c>
      <c r="Q103" s="11">
        <v>172</v>
      </c>
      <c r="R103" s="11">
        <v>186</v>
      </c>
      <c r="S103" s="13">
        <f>IF(TBL_PHV[[#This Row],[Sitzgröße gemessen]]="","",TBL_PHV[[#This Row],[Sitzgröße gemessen]]-$S$3)</f>
        <v>80</v>
      </c>
      <c r="T103" s="14">
        <f>IF(TBL_PHV[[#This Row],[Testdatum]]="","",YEARFRAC(TBL_PHV[[#This Row],[Geburtsdatum]],TBL_PHV[[#This Row],[Testdatum]]))</f>
        <v>12.130555555555556</v>
      </c>
      <c r="U103" s="13">
        <f>IF(TBL_PHV[[#This Row],[Sitzgröße berechnet]]="","",TBL_PHV[[#This Row],[Größe]]-TBL_PHV[[#This Row],[Sitzgröße berechnet]])</f>
        <v>89.5</v>
      </c>
      <c r="V103" s="14">
        <f>IF(TBL_PHV[[#This Row],[Gewicht]]="","",TBL_PHV[[#This Row],[Gewicht]]/(TBL_PHV[[#This Row],[Größe]]/100)^2)</f>
        <v>23.355174424169643</v>
      </c>
      <c r="W103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13.323059624225664</v>
      </c>
      <c r="X103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-1.1925040686701078</v>
      </c>
      <c r="Y103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104" spans="1:25" x14ac:dyDescent="0.25">
      <c r="A104">
        <v>98</v>
      </c>
      <c r="B104" s="8" t="s">
        <v>217</v>
      </c>
      <c r="C104" s="8" t="s">
        <v>218</v>
      </c>
      <c r="D104" s="8" t="str">
        <f>_xlfn.TEXTJOIN(" ",TRUE,TBL_PHV[[#This Row],[Vorname]],TBL_PHV[[#This Row],[Nachname]])</f>
        <v>Julius Quintus Groll</v>
      </c>
      <c r="E104" s="9">
        <v>39585</v>
      </c>
      <c r="F104" s="9">
        <v>44569</v>
      </c>
      <c r="G104" s="9" t="s">
        <v>35</v>
      </c>
      <c r="H104" s="9" t="s">
        <v>36</v>
      </c>
      <c r="I104" s="16" t="s">
        <v>204</v>
      </c>
      <c r="J104" s="16"/>
      <c r="K104" s="10" t="s">
        <v>38</v>
      </c>
      <c r="L104" s="11">
        <v>3</v>
      </c>
      <c r="M104" s="12">
        <v>173.5</v>
      </c>
      <c r="N104" s="11">
        <v>137</v>
      </c>
      <c r="O104" s="11">
        <v>73.599999999999994</v>
      </c>
      <c r="P104" s="11">
        <v>179</v>
      </c>
      <c r="Q104" s="11"/>
      <c r="R104" s="11"/>
      <c r="S104" s="13">
        <f>IF(TBL_PHV[[#This Row],[Sitzgröße gemessen]]="","",TBL_PHV[[#This Row],[Sitzgröße gemessen]]-$S$3)</f>
        <v>92</v>
      </c>
      <c r="T104" s="14">
        <f>IF(TBL_PHV[[#This Row],[Testdatum]]="","",YEARFRAC(TBL_PHV[[#This Row],[Geburtsdatum]],TBL_PHV[[#This Row],[Testdatum]]))</f>
        <v>13.641666666666667</v>
      </c>
      <c r="U104" s="13">
        <f>IF(TBL_PHV[[#This Row],[Sitzgröße berechnet]]="","",TBL_PHV[[#This Row],[Größe]]-TBL_PHV[[#This Row],[Sitzgröße berechnet]])</f>
        <v>81.5</v>
      </c>
      <c r="V104" s="14">
        <f>IF(TBL_PHV[[#This Row],[Gewicht]]="","",TBL_PHV[[#This Row],[Gewicht]]/(TBL_PHV[[#This Row],[Größe]]/100)^2)</f>
        <v>24.449999584748646</v>
      </c>
      <c r="W104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12.667520630679636</v>
      </c>
      <c r="X104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0.97414603598703176</v>
      </c>
      <c r="Y104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0.5 bis 1.5</v>
      </c>
    </row>
    <row r="105" spans="1:25" x14ac:dyDescent="0.25">
      <c r="A105">
        <v>99</v>
      </c>
      <c r="B105" s="8" t="s">
        <v>219</v>
      </c>
      <c r="C105" s="8" t="s">
        <v>220</v>
      </c>
      <c r="D105" s="8" t="str">
        <f>_xlfn.TEXTJOIN(" ",TRUE,TBL_PHV[[#This Row],[Vorname]],TBL_PHV[[#This Row],[Nachname]])</f>
        <v>Dimitriy Funikov</v>
      </c>
      <c r="E105" s="9">
        <v>39665</v>
      </c>
      <c r="F105" s="9">
        <v>44569</v>
      </c>
      <c r="G105" s="9" t="s">
        <v>35</v>
      </c>
      <c r="H105" s="9" t="s">
        <v>36</v>
      </c>
      <c r="I105" s="16" t="s">
        <v>204</v>
      </c>
      <c r="J105" s="16"/>
      <c r="K105" s="10" t="s">
        <v>38</v>
      </c>
      <c r="L105" s="11">
        <v>3.5</v>
      </c>
      <c r="M105" s="12">
        <v>170</v>
      </c>
      <c r="N105" s="11">
        <v>132</v>
      </c>
      <c r="O105" s="11">
        <v>87.3</v>
      </c>
      <c r="P105" s="11">
        <v>163</v>
      </c>
      <c r="Q105" s="11">
        <v>160</v>
      </c>
      <c r="R105" s="11">
        <v>180</v>
      </c>
      <c r="S105" s="13">
        <f>IF(TBL_PHV[[#This Row],[Sitzgröße gemessen]]="","",TBL_PHV[[#This Row],[Sitzgröße gemessen]]-$S$3)</f>
        <v>87</v>
      </c>
      <c r="T105" s="14">
        <f>IF(TBL_PHV[[#This Row],[Testdatum]]="","",YEARFRAC(TBL_PHV[[#This Row],[Geburtsdatum]],TBL_PHV[[#This Row],[Testdatum]]))</f>
        <v>13.425000000000001</v>
      </c>
      <c r="U105" s="13">
        <f>IF(TBL_PHV[[#This Row],[Sitzgröße berechnet]]="","",TBL_PHV[[#This Row],[Größe]]-TBL_PHV[[#This Row],[Sitzgröße berechnet]])</f>
        <v>83</v>
      </c>
      <c r="V105" s="14">
        <f>IF(TBL_PHV[[#This Row],[Gewicht]]="","",TBL_PHV[[#This Row],[Gewicht]]/(TBL_PHV[[#This Row],[Größe]]/100)^2)</f>
        <v>30.207612456747409</v>
      </c>
      <c r="W105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12.953475513235295</v>
      </c>
      <c r="X105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0.47152448676470549</v>
      </c>
      <c r="Y105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-0.5 bis 0.5</v>
      </c>
    </row>
    <row r="106" spans="1:25" x14ac:dyDescent="0.25">
      <c r="A106">
        <v>100</v>
      </c>
      <c r="B106" s="8" t="s">
        <v>221</v>
      </c>
      <c r="C106" s="8" t="s">
        <v>201</v>
      </c>
      <c r="D106" s="8" t="str">
        <f>_xlfn.TEXTJOIN(" ",TRUE,TBL_PHV[[#This Row],[Vorname]],TBL_PHV[[#This Row],[Nachname]])</f>
        <v>Dimitrios Kakarifis</v>
      </c>
      <c r="E106" s="9">
        <v>39960</v>
      </c>
      <c r="F106" s="9">
        <v>44569</v>
      </c>
      <c r="G106" s="9" t="s">
        <v>35</v>
      </c>
      <c r="H106" s="9" t="s">
        <v>36</v>
      </c>
      <c r="I106" s="16" t="s">
        <v>204</v>
      </c>
      <c r="J106" s="16"/>
      <c r="K106" s="10" t="s">
        <v>38</v>
      </c>
      <c r="L106" s="11">
        <v>3</v>
      </c>
      <c r="M106" s="12">
        <v>159.5</v>
      </c>
      <c r="N106" s="11">
        <v>122</v>
      </c>
      <c r="O106" s="11">
        <v>57.2</v>
      </c>
      <c r="P106" s="11">
        <v>162</v>
      </c>
      <c r="Q106" s="11">
        <v>152</v>
      </c>
      <c r="R106" s="11">
        <v>176</v>
      </c>
      <c r="S106" s="13">
        <f>IF(TBL_PHV[[#This Row],[Sitzgröße gemessen]]="","",TBL_PHV[[#This Row],[Sitzgröße gemessen]]-$S$3)</f>
        <v>77</v>
      </c>
      <c r="T106" s="14">
        <f>IF(TBL_PHV[[#This Row],[Testdatum]]="","",YEARFRAC(TBL_PHV[[#This Row],[Geburtsdatum]],TBL_PHV[[#This Row],[Testdatum]]))</f>
        <v>12.613888888888889</v>
      </c>
      <c r="U106" s="13">
        <f>IF(TBL_PHV[[#This Row],[Sitzgröße berechnet]]="","",TBL_PHV[[#This Row],[Größe]]-TBL_PHV[[#This Row],[Sitzgröße berechnet]])</f>
        <v>82.5</v>
      </c>
      <c r="V106" s="14">
        <f>IF(TBL_PHV[[#This Row],[Gewicht]]="","",TBL_PHV[[#This Row],[Gewicht]]/(TBL_PHV[[#This Row],[Größe]]/100)^2)</f>
        <v>22.484055777753756</v>
      </c>
      <c r="W106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14.029586977921456</v>
      </c>
      <c r="X106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-1.4156980890325666</v>
      </c>
      <c r="Y106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107" spans="1:25" x14ac:dyDescent="0.25">
      <c r="A107">
        <v>102</v>
      </c>
      <c r="B107" s="8" t="s">
        <v>224</v>
      </c>
      <c r="C107" s="8" t="s">
        <v>225</v>
      </c>
      <c r="D107" s="8" t="str">
        <f>_xlfn.TEXTJOIN(" ",TRUE,TBL_PHV[[#This Row],[Vorname]],TBL_PHV[[#This Row],[Nachname]])</f>
        <v>Theo Konert</v>
      </c>
      <c r="E107" s="9">
        <v>40081</v>
      </c>
      <c r="F107" s="9">
        <v>44569</v>
      </c>
      <c r="G107" s="9" t="s">
        <v>35</v>
      </c>
      <c r="H107" s="9" t="s">
        <v>36</v>
      </c>
      <c r="I107" s="16" t="s">
        <v>204</v>
      </c>
      <c r="J107" s="16"/>
      <c r="K107" s="10" t="s">
        <v>38</v>
      </c>
      <c r="L107" s="11">
        <v>3</v>
      </c>
      <c r="M107" s="12">
        <v>166</v>
      </c>
      <c r="N107" s="11">
        <v>126.5</v>
      </c>
      <c r="O107" s="11">
        <v>41.6</v>
      </c>
      <c r="P107" s="11">
        <v>165</v>
      </c>
      <c r="Q107" s="11">
        <v>178</v>
      </c>
      <c r="R107" s="11">
        <v>196</v>
      </c>
      <c r="S107" s="13">
        <f>IF(TBL_PHV[[#This Row],[Sitzgröße gemessen]]="","",TBL_PHV[[#This Row],[Sitzgröße gemessen]]-$S$3)</f>
        <v>81.5</v>
      </c>
      <c r="T107" s="14">
        <f>IF(TBL_PHV[[#This Row],[Testdatum]]="","",YEARFRAC(TBL_PHV[[#This Row],[Geburtsdatum]],TBL_PHV[[#This Row],[Testdatum]]))</f>
        <v>12.286111111111111</v>
      </c>
      <c r="U107" s="13">
        <f>IF(TBL_PHV[[#This Row],[Sitzgröße berechnet]]="","",TBL_PHV[[#This Row],[Größe]]-TBL_PHV[[#This Row],[Sitzgröße berechnet]])</f>
        <v>84.5</v>
      </c>
      <c r="V107" s="14">
        <f>IF(TBL_PHV[[#This Row],[Gewicht]]="","",TBL_PHV[[#This Row],[Gewicht]]/(TBL_PHV[[#This Row],[Größe]]/100)^2)</f>
        <v>15.096530701117725</v>
      </c>
      <c r="W107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13.583774734052877</v>
      </c>
      <c r="X107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-1.2976636229417662</v>
      </c>
      <c r="Y107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108" spans="1:25" x14ac:dyDescent="0.25">
      <c r="A108">
        <v>103</v>
      </c>
      <c r="B108" s="8" t="s">
        <v>226</v>
      </c>
      <c r="C108" s="8" t="s">
        <v>227</v>
      </c>
      <c r="D108" s="8" t="str">
        <f>_xlfn.TEXTJOIN(" ",TRUE,TBL_PHV[[#This Row],[Vorname]],TBL_PHV[[#This Row],[Nachname]])</f>
        <v>Emjay Meißner</v>
      </c>
      <c r="E108" s="9">
        <v>40011</v>
      </c>
      <c r="F108" s="9">
        <v>44569</v>
      </c>
      <c r="G108" s="9" t="s">
        <v>35</v>
      </c>
      <c r="H108" s="9" t="s">
        <v>36</v>
      </c>
      <c r="I108" s="16" t="s">
        <v>204</v>
      </c>
      <c r="J108" s="16"/>
      <c r="K108" s="10" t="s">
        <v>38</v>
      </c>
      <c r="L108" s="11">
        <v>3</v>
      </c>
      <c r="M108" s="12">
        <v>163.5</v>
      </c>
      <c r="N108" s="11">
        <v>122</v>
      </c>
      <c r="O108" s="11">
        <v>49.3</v>
      </c>
      <c r="P108" s="11">
        <v>169</v>
      </c>
      <c r="Q108" s="11"/>
      <c r="R108" s="11">
        <v>180</v>
      </c>
      <c r="S108" s="13">
        <f>IF(TBL_PHV[[#This Row],[Sitzgröße gemessen]]="","",TBL_PHV[[#This Row],[Sitzgröße gemessen]]-$S$3)</f>
        <v>77</v>
      </c>
      <c r="T108" s="14">
        <f>IF(TBL_PHV[[#This Row],[Testdatum]]="","",YEARFRAC(TBL_PHV[[#This Row],[Geburtsdatum]],TBL_PHV[[#This Row],[Testdatum]]))</f>
        <v>12.475</v>
      </c>
      <c r="U108" s="13">
        <f>IF(TBL_PHV[[#This Row],[Sitzgröße berechnet]]="","",TBL_PHV[[#This Row],[Größe]]-TBL_PHV[[#This Row],[Sitzgröße berechnet]])</f>
        <v>86.5</v>
      </c>
      <c r="V108" s="14">
        <f>IF(TBL_PHV[[#This Row],[Gewicht]]="","",TBL_PHV[[#This Row],[Gewicht]]/(TBL_PHV[[#This Row],[Größe]]/100)^2)</f>
        <v>18.442143852462848</v>
      </c>
      <c r="W108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14.079245325344036</v>
      </c>
      <c r="X108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-1.6042453253440359</v>
      </c>
      <c r="Y108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-2.5 bis -1.5</v>
      </c>
    </row>
    <row r="109" spans="1:25" x14ac:dyDescent="0.25">
      <c r="A109">
        <v>104</v>
      </c>
      <c r="B109" s="8" t="s">
        <v>228</v>
      </c>
      <c r="C109" s="8" t="s">
        <v>229</v>
      </c>
      <c r="D109" s="8" t="str">
        <f>_xlfn.TEXTJOIN(" ",TRUE,TBL_PHV[[#This Row],[Vorname]],TBL_PHV[[#This Row],[Nachname]])</f>
        <v>Eric Curstein</v>
      </c>
      <c r="E109" s="9">
        <v>39448</v>
      </c>
      <c r="F109" s="9">
        <v>44569</v>
      </c>
      <c r="G109" s="9" t="s">
        <v>35</v>
      </c>
      <c r="H109" s="9" t="s">
        <v>36</v>
      </c>
      <c r="I109" s="16" t="s">
        <v>204</v>
      </c>
      <c r="J109" s="16"/>
      <c r="K109" s="10" t="s">
        <v>38</v>
      </c>
      <c r="L109" s="11">
        <v>3</v>
      </c>
      <c r="M109" s="12">
        <v>163</v>
      </c>
      <c r="N109" s="11">
        <v>123.5</v>
      </c>
      <c r="O109" s="11">
        <v>44</v>
      </c>
      <c r="P109" s="11">
        <v>164</v>
      </c>
      <c r="Q109" s="11">
        <v>162</v>
      </c>
      <c r="R109" s="11">
        <v>168</v>
      </c>
      <c r="S109" s="13">
        <f>IF(TBL_PHV[[#This Row],[Sitzgröße gemessen]]="","",TBL_PHV[[#This Row],[Sitzgröße gemessen]]-$S$3)</f>
        <v>78.5</v>
      </c>
      <c r="T109" s="14">
        <f>IF(TBL_PHV[[#This Row],[Testdatum]]="","",YEARFRAC(TBL_PHV[[#This Row],[Geburtsdatum]],TBL_PHV[[#This Row],[Testdatum]]))</f>
        <v>14.019444444444444</v>
      </c>
      <c r="U109" s="13">
        <f>IF(TBL_PHV[[#This Row],[Sitzgröße berechnet]]="","",TBL_PHV[[#This Row],[Größe]]-TBL_PHV[[#This Row],[Sitzgröße berechnet]])</f>
        <v>84.5</v>
      </c>
      <c r="V109" s="14">
        <f>IF(TBL_PHV[[#This Row],[Gewicht]]="","",TBL_PHV[[#This Row],[Gewicht]]/(TBL_PHV[[#This Row],[Größe]]/100)^2)</f>
        <v>16.560653393052053</v>
      </c>
      <c r="W109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14.869123937108043</v>
      </c>
      <c r="X109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-0.84967949266359954</v>
      </c>
      <c r="Y109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110" spans="1:25" x14ac:dyDescent="0.25">
      <c r="A110">
        <v>106</v>
      </c>
      <c r="B110" s="8" t="s">
        <v>232</v>
      </c>
      <c r="C110" s="8" t="s">
        <v>233</v>
      </c>
      <c r="D110" s="8" t="str">
        <f>_xlfn.TEXTJOIN(" ",TRUE,TBL_PHV[[#This Row],[Vorname]],TBL_PHV[[#This Row],[Nachname]])</f>
        <v>Moritz Boßert</v>
      </c>
      <c r="E110" s="9">
        <v>39512</v>
      </c>
      <c r="F110" s="9">
        <v>44569</v>
      </c>
      <c r="G110" s="9" t="s">
        <v>35</v>
      </c>
      <c r="H110" s="9" t="s">
        <v>36</v>
      </c>
      <c r="I110" s="16" t="s">
        <v>204</v>
      </c>
      <c r="J110" s="16"/>
      <c r="K110" s="10" t="s">
        <v>38</v>
      </c>
      <c r="L110" s="11">
        <v>3</v>
      </c>
      <c r="M110" s="12">
        <v>166</v>
      </c>
      <c r="N110" s="11">
        <v>123.5</v>
      </c>
      <c r="O110" s="11">
        <v>47.9</v>
      </c>
      <c r="P110" s="11">
        <v>166</v>
      </c>
      <c r="Q110" s="11"/>
      <c r="R110" s="11"/>
      <c r="S110" s="13">
        <f>IF(TBL_PHV[[#This Row],[Sitzgröße gemessen]]="","",TBL_PHV[[#This Row],[Sitzgröße gemessen]]-$S$3)</f>
        <v>78.5</v>
      </c>
      <c r="T110" s="14">
        <f>IF(TBL_PHV[[#This Row],[Testdatum]]="","",YEARFRAC(TBL_PHV[[#This Row],[Geburtsdatum]],TBL_PHV[[#This Row],[Testdatum]]))</f>
        <v>13.841666666666667</v>
      </c>
      <c r="U110" s="13">
        <f>IF(TBL_PHV[[#This Row],[Sitzgröße berechnet]]="","",TBL_PHV[[#This Row],[Größe]]-TBL_PHV[[#This Row],[Sitzgröße berechnet]])</f>
        <v>87.5</v>
      </c>
      <c r="V110" s="14">
        <f>IF(TBL_PHV[[#This Row],[Gewicht]]="","",TBL_PHV[[#This Row],[Gewicht]]/(TBL_PHV[[#This Row],[Größe]]/100)^2)</f>
        <v>17.382784148642763</v>
      </c>
      <c r="W110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14.729683289106426</v>
      </c>
      <c r="X110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-0.88801662243975932</v>
      </c>
      <c r="Y110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111" spans="1:25" x14ac:dyDescent="0.25">
      <c r="A111">
        <v>107</v>
      </c>
      <c r="B111" s="8" t="s">
        <v>230</v>
      </c>
      <c r="C111" s="8" t="s">
        <v>234</v>
      </c>
      <c r="D111" s="8" t="str">
        <f>_xlfn.TEXTJOIN(" ",TRUE,TBL_PHV[[#This Row],[Vorname]],TBL_PHV[[#This Row],[Nachname]])</f>
        <v>Amir Hagen Idris</v>
      </c>
      <c r="E111" s="9">
        <v>39990</v>
      </c>
      <c r="F111" s="9">
        <v>44569</v>
      </c>
      <c r="G111" s="9" t="s">
        <v>35</v>
      </c>
      <c r="H111" s="9" t="s">
        <v>36</v>
      </c>
      <c r="I111" s="16" t="s">
        <v>204</v>
      </c>
      <c r="J111" s="16"/>
      <c r="K111" s="10" t="s">
        <v>38</v>
      </c>
      <c r="L111" s="11">
        <v>4</v>
      </c>
      <c r="M111" s="12">
        <v>175.5</v>
      </c>
      <c r="N111" s="11">
        <v>129.5</v>
      </c>
      <c r="O111" s="11">
        <v>55.3</v>
      </c>
      <c r="P111" s="11">
        <v>172.5</v>
      </c>
      <c r="Q111" s="11">
        <v>170</v>
      </c>
      <c r="R111" s="11">
        <v>180</v>
      </c>
      <c r="S111" s="13">
        <f>IF(TBL_PHV[[#This Row],[Sitzgröße gemessen]]="","",TBL_PHV[[#This Row],[Sitzgröße gemessen]]-$S$3)</f>
        <v>84.5</v>
      </c>
      <c r="T111" s="14">
        <f>IF(TBL_PHV[[#This Row],[Testdatum]]="","",YEARFRAC(TBL_PHV[[#This Row],[Geburtsdatum]],TBL_PHV[[#This Row],[Testdatum]]))</f>
        <v>12.533333333333333</v>
      </c>
      <c r="U111" s="13">
        <f>IF(TBL_PHV[[#This Row],[Sitzgröße berechnet]]="","",TBL_PHV[[#This Row],[Größe]]-TBL_PHV[[#This Row],[Sitzgröße berechnet]])</f>
        <v>91</v>
      </c>
      <c r="V111" s="14">
        <f>IF(TBL_PHV[[#This Row],[Gewicht]]="","",TBL_PHV[[#This Row],[Gewicht]]/(TBL_PHV[[#This Row],[Größe]]/100)^2)</f>
        <v>17.954399720781488</v>
      </c>
      <c r="W111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13.219290052991454</v>
      </c>
      <c r="X111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-0.68595671965812077</v>
      </c>
      <c r="Y111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  <row r="112" spans="1:25" x14ac:dyDescent="0.25">
      <c r="A112">
        <v>108</v>
      </c>
      <c r="B112" s="8" t="s">
        <v>235</v>
      </c>
      <c r="C112" s="8" t="s">
        <v>126</v>
      </c>
      <c r="D112" s="8" t="str">
        <f>_xlfn.TEXTJOIN(" ",TRUE,TBL_PHV[[#This Row],[Vorname]],TBL_PHV[[#This Row],[Nachname]])</f>
        <v>Samuel Grabinski</v>
      </c>
      <c r="E112" s="9">
        <v>39963</v>
      </c>
      <c r="F112" s="9">
        <v>44569</v>
      </c>
      <c r="G112" s="9" t="s">
        <v>35</v>
      </c>
      <c r="H112" s="9" t="s">
        <v>36</v>
      </c>
      <c r="I112" s="16" t="s">
        <v>204</v>
      </c>
      <c r="J112" s="16"/>
      <c r="K112" s="10" t="s">
        <v>38</v>
      </c>
      <c r="L112" s="11">
        <v>3.5</v>
      </c>
      <c r="M112" s="12">
        <v>162</v>
      </c>
      <c r="N112" s="11">
        <v>126.5</v>
      </c>
      <c r="O112" s="11">
        <v>57.6</v>
      </c>
      <c r="P112" s="11">
        <v>164.5</v>
      </c>
      <c r="Q112" s="11">
        <v>160</v>
      </c>
      <c r="R112" s="11">
        <v>190</v>
      </c>
      <c r="S112" s="13">
        <f>IF(TBL_PHV[[#This Row],[Sitzgröße gemessen]]="","",TBL_PHV[[#This Row],[Sitzgröße gemessen]]-$S$3)</f>
        <v>81.5</v>
      </c>
      <c r="T112" s="14">
        <f>IF(TBL_PHV[[#This Row],[Testdatum]]="","",YEARFRAC(TBL_PHV[[#This Row],[Geburtsdatum]],TBL_PHV[[#This Row],[Testdatum]]))</f>
        <v>12.605555555555556</v>
      </c>
      <c r="U112" s="13">
        <f>IF(TBL_PHV[[#This Row],[Sitzgröße berechnet]]="","",TBL_PHV[[#This Row],[Größe]]-TBL_PHV[[#This Row],[Sitzgröße berechnet]])</f>
        <v>80.5</v>
      </c>
      <c r="V112" s="14">
        <f>IF(TBL_PHV[[#This Row],[Gewicht]]="","",TBL_PHV[[#This Row],[Gewicht]]/(TBL_PHV[[#This Row],[Größe]]/100)^2)</f>
        <v>21.947873799725649</v>
      </c>
      <c r="W112" s="14">
        <f>IFERROR(IF(AND(TBL_PHV[[#This Row],[Geschlecht]]="männlich",TBL_PHV[[#This Row],[chrono. Alter]]&lt;17,ISNUMBER(TBL_PHV[[#This Row],[Sitzgröße berechnet]]),ISNUMBER(TBL_PHV[[#This Row],[Sitzgröße gemessen]])),TBL_PHV[[#This Row],[chrono. Alter]]-(-9.236+(0.0002708*TBL_PHV[[#This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Row],[Größe]]*100))),IF(AND(TBL_PHV[[#This Row],[Geschlecht]]="weiblich",TBL_PHV[[#This Row],[chrono. Alter]]&lt;16,ISNUMBER(TBL_PHV[[#This Row],[Sitzgröße berechnet]]),ISNUMBER(TBL_PHV[[#This Row],[Sitzgröße gemessen]])),TBL_PHV[[#This Row],[chrono. Alter]]-(-9.376+(0.0001882*TBL_PHV[[#This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Row],[Größe]]*100))),"")),"")</f>
        <v>13.524118108333333</v>
      </c>
      <c r="X112" s="13">
        <f>IFERROR(IF(OR(AND(TBL_PHV[[#This Row],[Geschlecht]]="männlich",TBL_PHV[[#This Row],[chrono. Alter]]&lt;17,ISNUMBER(TBL_PHV[[#This Row],[Sitzgröße berechnet]])),AND(TBL_PHV[[#This Row],[Geschlecht]]="weiblich",TBL_PHV[[#This Row],[chrono. Alter]]&lt;16),ISNUMBER(TBL_PHV[[#This Row],[Sitzgröße berechnet]])),IF(AND(TBL_PHV[[#This Row],[Geschlecht]]="männlich",ISNUMBER(TBL_PHV[[#This Row],[Sitzgröße gemessen]])),(-9.236+(0.0002708*TBL_PHV[[#This Row],[Beinlänge]]*TBL_PHV[[#This Row],[Sitzgröße berechnet]])-(0.001663*TBL_PHV[[#This Row],[chrono. Alter]]*TBL_PHV[[#This Row],[Beinlänge]])+(0.007216*TBL_PHV[[#This Row],[chrono. Alter]]*TBL_PHV[[#This Row],[Sitzgröße berechnet]])+(0.02292*(TBL_PHV[[#This Row],[Gewicht]]/TBL_PHV[[#This Row],[Größe]]*100))),(-9.376+(0.0001882*TBL_PHV[[#This Row],[Beinlänge]]*TBL_PHV[[#This Row],[Sitzgröße berechnet]])+(0.0022*TBL_PHV[[#This Row],[chrono. Alter]]*TBL_PHV[[#This Row],[Beinlänge]])+(0.005841*TBL_PHV[[#This Row],[chrono. Alter]]*TBL_PHV[[#This Row],[Sitzgröße berechnet]])-(0.002658*TBL_PHV[[#This Row],[chrono. Alter]]*TBL_PHV[[#This Row],[Gewicht]])+(0.07693*(TBL_PHV[[#This Row],[Gewicht]]/TBL_PHV[[#This Row],[Größe]]*100)))),""),"")</f>
        <v>-0.91856255277777776</v>
      </c>
      <c r="Y112" s="15" t="str">
        <f>IF(TBL_PHV[[#This Row],[YAPHV]]="","",IF(TBL_PHV[[#This Row],[YAPHV]]&lt;-2.5,"PHV -2.5",IF(AND(TBL_PHV[[#This Row],[YAPHV]]&gt;=-2.5,TBL_PHV[[#This Row],[YAPHV]]&lt;-1.5),"PHV -2.5 bis -1.5",IF(AND(TBL_PHV[[#This Row],[YAPHV]]&gt;=-1.5,TBL_PHV[[#This Row],[YAPHV]]&lt;-0.5),"PHV -1.5 bis -0.5",IF(AND(TBL_PHV[[#This Row],[YAPHV]]&gt;=-0.5,TBL_PHV[[#This Row],[YAPHV]]&lt;0.5),"PHV -0.5 bis 0.5",IF(AND(TBL_PHV[[#This Row],[YAPHV]]&gt;=0.5,TBL_PHV[[#This Row],[YAPHV]]&lt;1.5),"PHV 0.5 bis 1.5",IF(AND(TBL_PHV[[#This Row],[YAPHV]]&gt;=1.5,TBL_PHV[[#This Row],[YAPHV]]&lt;2.5),"PHV 1.5 bis 2.5",IF(TBL_PHV[[#This Row],[YAPHV]]&gt;=2.5,"PHV 2.5",))))))))</f>
        <v>PHV -1.5 bis -0.5</v>
      </c>
    </row>
  </sheetData>
  <mergeCells count="5">
    <mergeCell ref="Y1:Y3"/>
    <mergeCell ref="W2:W3"/>
    <mergeCell ref="X2:X3"/>
    <mergeCell ref="AA1:AH1"/>
    <mergeCell ref="AA2:AH2"/>
  </mergeCell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Dateneingbe Anthro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Reiner Volk</dc:creator>
  <cp:lastModifiedBy>Nicola Reiner Volk</cp:lastModifiedBy>
  <dcterms:created xsi:type="dcterms:W3CDTF">2022-01-08T20:22:06Z</dcterms:created>
  <dcterms:modified xsi:type="dcterms:W3CDTF">2022-01-08T20:24:49Z</dcterms:modified>
</cp:coreProperties>
</file>